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unidades" sheetId="1" r:id="rId4"/>
    <sheet state="visible" name="Biología 10.°" sheetId="2" r:id="rId5"/>
    <sheet state="visible" name="Biología 11.°" sheetId="3" r:id="rId6"/>
    <sheet state="visible" name="Microhabilidades PISA" sheetId="4" r:id="rId7"/>
    <sheet state="visible" name="Habilidades transversales" sheetId="5" r:id="rId8"/>
    <sheet state="visible" name="DigComp 3.0" sheetId="6" r:id="rId9"/>
    <sheet state="visible" name="Notas" sheetId="7" r:id="rId10"/>
    <sheet state="visible" name="Herramientas IA" sheetId="8" r:id="rId11"/>
  </sheets>
  <definedNames/>
  <calcPr/>
  <extLst>
    <ext uri="GoogleSheetsCustomDataVersion2">
      <go:sheetsCustomData xmlns:go="http://customooxmlschemas.google.com/" r:id="rId12" roundtripDataChecksum="hBBx2b92Ydo5z09Dn++DLEUerP2ge2FlDTGFNZ3gdEc="/>
    </ext>
  </extLst>
</workbook>
</file>

<file path=xl/sharedStrings.xml><?xml version="1.0" encoding="utf-8"?>
<sst xmlns="http://schemas.openxmlformats.org/spreadsheetml/2006/main" count="2938" uniqueCount="2430">
  <si>
    <t>Código</t>
  </si>
  <si>
    <t>Malla de Biología — Bachillerato (10.° y 11.° grado): mapa de unidades</t>
  </si>
  <si>
    <t>Base: malla oficial de Ciencia y Tecnología de El Salvador y base sugerida «Malla_Curricular_CyT_ajustada_TIMSS_PISA_2» (pestaña «Bachillerato - Biología»). Biología no tiene planeador: las unidades nuevas son propuesta de esta malla. La distribución horaria queda pendiente, por decisión del equipo.</t>
  </si>
  <si>
    <t>Unidad</t>
  </si>
  <si>
    <t>Año</t>
  </si>
  <si>
    <t>Contenido</t>
  </si>
  <si>
    <t>N.°</t>
  </si>
  <si>
    <t>Origen</t>
  </si>
  <si>
    <t>Subcontenidos</t>
  </si>
  <si>
    <t>Eje integrador</t>
  </si>
  <si>
    <t>Temas</t>
  </si>
  <si>
    <t>Fuente</t>
  </si>
  <si>
    <t>Competencia PISA 2025</t>
  </si>
  <si>
    <t>Horas (por definir)</t>
  </si>
  <si>
    <t>Observaciones (superposiciones y ajustes)</t>
  </si>
  <si>
    <t>Procedimental</t>
  </si>
  <si>
    <t>Microhabilidad (marco PISA 2025)</t>
  </si>
  <si>
    <t>Cómo se ve en Bachillerato</t>
  </si>
  <si>
    <t>Fase donde más se trabaja</t>
  </si>
  <si>
    <t>10.° grado (1.° Bachillerato)</t>
  </si>
  <si>
    <t>Indicador avanzado</t>
  </si>
  <si>
    <t>E1</t>
  </si>
  <si>
    <t>Actitudinal</t>
  </si>
  <si>
    <t>1. Explicar fenómenos científicamente</t>
  </si>
  <si>
    <t>Biomoléculas</t>
  </si>
  <si>
    <t>Microhabilidades PISA por fase de la secuencia didáctica (ver hoja «Microhabilidades PISA»)</t>
  </si>
  <si>
    <t>Recordar y aplicar el conocimiento científico apropiado</t>
  </si>
  <si>
    <t>Oficial</t>
  </si>
  <si>
    <t>Recupera lo visto en grados anteriores y lo aplica con precisión a un fenómeno nuevo, con lenguaje y magnitudes científicas.</t>
  </si>
  <si>
    <t>Organización</t>
  </si>
  <si>
    <t>Aproximar, Explicar</t>
  </si>
  <si>
    <t>E2</t>
  </si>
  <si>
    <t>Usar distintas formas de representación y pasar de una a otra</t>
  </si>
  <si>
    <t>Traduce entre texto, diagramas, gráficas, ecuaciones y tablas (p. ej., de una gráfica posición-tiempo a la ecuación del movimiento).</t>
  </si>
  <si>
    <t>Explicar</t>
  </si>
  <si>
    <t>E3</t>
  </si>
  <si>
    <t>Malla oficial 10.° grado, Unidad 6 (4 semanas oficiales)</t>
  </si>
  <si>
    <t>Hacer y justificar predicciones y soluciones científicas</t>
  </si>
  <si>
    <t>Predice resultados cuantitativos o cualitativos antes de medir y justifica la predicción con un principio o modelo.</t>
  </si>
  <si>
    <t>Explorar, Reforzar</t>
  </si>
  <si>
    <t>E4</t>
  </si>
  <si>
    <t>Identificar, construir y evaluar modelos</t>
  </si>
  <si>
    <t>Construye modelos físicos, matemáticos o computacionales, los usa para explicar y señala sus supuestos y límites.</t>
  </si>
  <si>
    <t>Biología celular</t>
  </si>
  <si>
    <t>Explicar, Indagar</t>
  </si>
  <si>
    <t>Habilidad del siglo XXI
(foco del tema y fase)</t>
  </si>
  <si>
    <t>E5</t>
  </si>
  <si>
    <t>Sistemas</t>
  </si>
  <si>
    <t>Reconocer y desarrollar hipótesis explicativas</t>
  </si>
  <si>
    <t>Malla oficial 10.° grado, Unidad 7 (5 semanas oficiales)</t>
  </si>
  <si>
    <t>Formula hipótesis comprobables que relacionan variables y las distingue de simples conjeturas.</t>
  </si>
  <si>
    <t>Explorar</t>
  </si>
  <si>
    <t>Sin detalle de glucólisis, Krebs ni Calvin (unidad 7).</t>
  </si>
  <si>
    <t>E6</t>
  </si>
  <si>
    <t>Explicar las implicaciones del conocimiento científico para la sociedad</t>
  </si>
  <si>
    <t>Relaciona el contenido con problemas y decisiones de El Salvador (energía, agua, salud, riesgos, industria, ambiente).</t>
  </si>
  <si>
    <t>Anatomía y fisiología humana</t>
  </si>
  <si>
    <t>Aproximar, Reforzar</t>
  </si>
  <si>
    <t>Habilidad TIMSS</t>
  </si>
  <si>
    <t>D1</t>
  </si>
  <si>
    <t>2. Construir y evaluar diseños para la indagación científica e interpretar datos y evidencia de forma crítica</t>
  </si>
  <si>
    <t>Identificar la pregunta de una investigación científica</t>
  </si>
  <si>
    <t>Delimita una pregunta investigable y las variables que implica.</t>
  </si>
  <si>
    <t>Evidencia de aprendizaje</t>
  </si>
  <si>
    <t>D2</t>
  </si>
  <si>
    <t>Malla oficial 10.° grado, Unidad 8 (4 semanas oficiales)</t>
  </si>
  <si>
    <t>Competencia marco MEN</t>
  </si>
  <si>
    <t>Indicadores de logro</t>
  </si>
  <si>
    <t>Dominio clave</t>
  </si>
  <si>
    <t>Genética moderna</t>
  </si>
  <si>
    <t>Nuevo (propuesta)</t>
  </si>
  <si>
    <t>Competencia digital (DigComp 3.0)</t>
  </si>
  <si>
    <t>Interacciones</t>
  </si>
  <si>
    <t>Proponer un diseño experimental apropiado</t>
  </si>
  <si>
    <t>Diseña el procedimiento: variables, controles, instrumentos, número de repeticiones y medidas de seguridad.</t>
  </si>
  <si>
    <t>Propuesta</t>
  </si>
  <si>
    <t>Indagar</t>
  </si>
  <si>
    <t>D3</t>
  </si>
  <si>
    <t>Sin cruces de 7.° ni dihíbridos de 11.°.</t>
  </si>
  <si>
    <t>Actividad digital</t>
  </si>
  <si>
    <t>Evaluar si un diseño es el adecuado para responder la pregunta</t>
  </si>
  <si>
    <t>Critica un diseño propio o ajeno (control de variables, fuentes de error, tamaño de muestra) y propone mejoras.</t>
  </si>
  <si>
    <t>Evolución</t>
  </si>
  <si>
    <t>Indagar, Reforzar</t>
  </si>
  <si>
    <t>D4</t>
  </si>
  <si>
    <t>Interpretar datos en distintas representaciones y sacar conclusiones apropiadas</t>
  </si>
  <si>
    <t>Habilidad transversal
(vinculada a DigComp 3.0)</t>
  </si>
  <si>
    <t>Procesa datos (tablas, gráficas, ajuste lineal, incertidumbre) y extrae conclusiones sustentadas y limitadas por los datos.</t>
  </si>
  <si>
    <t>Historia y evidencias; mecanismos en 11.°.</t>
  </si>
  <si>
    <t>I1</t>
  </si>
  <si>
    <t>Termodinámica y sistemas vivos</t>
  </si>
  <si>
    <t>3. Investigar, evaluar y usar información científica para tomar decisiones y actuar</t>
  </si>
  <si>
    <t>Buscar, evaluar y comunicar el valor de distintas fuentes de información</t>
  </si>
  <si>
    <t>Busca en fuentes científicas y oficiales (MARN, MINSAL, bases de datos) y valora su fiabilidad, autoría y actualidad.</t>
  </si>
  <si>
    <t>Energía</t>
  </si>
  <si>
    <t>Notación</t>
  </si>
  <si>
    <t>I2</t>
  </si>
  <si>
    <t>Profundiza cuantitativamente la oficial 7.1–7.6.</t>
  </si>
  <si>
    <t>Distinguir afirmaciones con evidencia, de expertos o no expertos, y opiniones</t>
  </si>
  <si>
    <t>Origen del contenido</t>
  </si>
  <si>
    <t>Separa afirmaciones respaldadas por datos o por consenso experto de opiniones, publicidad o desinformación.</t>
  </si>
  <si>
    <t>Ciclos biogeoquímicos en la Tierra</t>
  </si>
  <si>
    <t>I3</t>
  </si>
  <si>
    <t>Construir un argumento a partir de datos</t>
  </si>
  <si>
    <t>Argumenta una conclusión con datos propios o publicados, con afirmación, evidencia y razonamiento.</t>
  </si>
  <si>
    <t>En 11.° la oficial 8.2–8.3 se trabaja como integración.</t>
  </si>
  <si>
    <t>I4</t>
  </si>
  <si>
    <t>Total 10.° grado (1.° Bachillerato)</t>
  </si>
  <si>
    <t>Criticar fallas comunes en argumentos científicos</t>
  </si>
  <si>
    <t>Detecta errores frecuentes: correlación tomada como causa, generalización con pocos datos, cifras sin unidades o sin incertidumbre.</t>
  </si>
  <si>
    <t>Reforzar</t>
  </si>
  <si>
    <t>I5</t>
  </si>
  <si>
    <t>Justificar decisiones con argumentos científicos, individuales o comunitarios</t>
  </si>
  <si>
    <t>Toma y defiende decisiones personales o comunitarias (consumo de energía, manejo de residuos, salud) con base científica.</t>
  </si>
  <si>
    <t>7 unidades</t>
  </si>
  <si>
    <t>1. Aproximar
Un fenómeno del mundo real</t>
  </si>
  <si>
    <t>Secuencia didáctica y microhabilidades</t>
  </si>
  <si>
    <t>2. Explorar
Qué sabemos y qué queremos saber</t>
  </si>
  <si>
    <t>1. Aproximar</t>
  </si>
  <si>
    <t>3. Explicar
Ideas clave en video y actividades</t>
  </si>
  <si>
    <t>Un fenómeno del mundo real</t>
  </si>
  <si>
    <t>4. Indagar
Analizar datos y responder preguntas</t>
  </si>
  <si>
    <t>E1, E6: reconocer el fenómeno y conectarlo con lo visto antes y con el contexto salvadoreño.</t>
  </si>
  <si>
    <t>5. Reforzar
Aplicar en nuevos contextos</t>
  </si>
  <si>
    <t>2. Explorar</t>
  </si>
  <si>
    <t>Qué sabemos y qué queremos saber</t>
  </si>
  <si>
    <t>D1, E5, E3: formular la pregunta, plantear hipótesis y predecir.</t>
  </si>
  <si>
    <t>3. Explicar</t>
  </si>
  <si>
    <t>Ideas clave en video y actividades</t>
  </si>
  <si>
    <t>1. Ecología y ambiente</t>
  </si>
  <si>
    <t>U1 - Eje integrador: organización</t>
  </si>
  <si>
    <t>E1, E2, E4: construir la idea clave, representarla y modelarla.</t>
  </si>
  <si>
    <t>Atributos de una población</t>
  </si>
  <si>
    <t>4. Indagar</t>
  </si>
  <si>
    <t>Analizar datos y responder preguntas</t>
  </si>
  <si>
    <t>D2, D3, D4, I1, I2, I3 (y E4): diseñar, evaluar el diseño, analizar datos y contrastar fuentes.</t>
  </si>
  <si>
    <t>Tamaño y densidad
Patrones de distribución espacial
Relación varianza-media</t>
  </si>
  <si>
    <t>7.1. Análisis de la densidad y del patrón de distribución espacial de una población a partir de conteos por cuadrantes.</t>
  </si>
  <si>
    <t>Modela el crecimiento de poblaciones con los modelos exponencial, logístico y de Lotka-Volterra, y estima su tamaño con el método de captura-recaptura. Interpreta tablas de vida y curvas de supervivencia para proponer medidas de conservación de especies amenazadas, como las tortugas marinas de la costa salvadoreña.</t>
  </si>
  <si>
    <t>5. Reforzar</t>
  </si>
  <si>
    <t>1. Biomoléculas</t>
  </si>
  <si>
    <t>Aplicar en nuevos contextos</t>
  </si>
  <si>
    <t>E3, E6, I4, I5 (y D3, I1, I2): transferir, criticar argumentos y tomar decisiones.</t>
  </si>
  <si>
    <t>Carbohidratos</t>
  </si>
  <si>
    <t>Función</t>
  </si>
  <si>
    <t>1.1. Identificación de los carbohidratos y sus estructuras.</t>
  </si>
  <si>
    <t>Rigor en el tratamiento matemático de datos poblacionales y en la valoración de sus supuestos. Compromiso con la conservación de las especies amenazadas y respeto por la fauna silvestre, a la que se estudia sin capturarla ni perturbarla.</t>
  </si>
  <si>
    <t>Relaciona la capacidad del ARN para formar cadenas dobles con su diversidad estructural y funcional. Investiga la actividad infecciosa de los priones y las principales enfermedades priónicas en humanos.</t>
  </si>
  <si>
    <t>Fuente: OECD, PISA 2025 Science Framework (competencias y habilidades que las componen). Traducción propia al español. PISA evalúa a estudiantes de 15 años; en Bachillerato las microhabilidades se trabajan con mayor autonomía y tratamiento cuantitativo.</t>
  </si>
  <si>
    <t>E1 · Recuerda lo visto en 7.° sobre la estructura de una población y observa la distribución de árboles de un cafetal y de un bosque.</t>
  </si>
  <si>
    <t>Conciencia de que las biomoléculas son esenciales para el correcto desarrollo y funcionamiento de los sistemas biológicos. Interés en conocer las funciones principales de las biomoléculas contenidas en productos alimenticios, farmacéuticos, agrícolas o veterinarios.</t>
  </si>
  <si>
    <t>D1 · Pregunta guía: «¿Cómo saber con números si los individuos de una población están agrupados, dispersos al azar o espaciados?».</t>
  </si>
  <si>
    <t>E2 · Calcula la densidad poblacional y la relación varianza-media a partir de tablas de conteo por cuadrantes.</t>
  </si>
  <si>
    <t>11.° grado (2.° Bachillerato)</t>
  </si>
  <si>
    <t>D4 · Analiza conteos de plantas del predio escolar o datos publicados e infiere el patrón de distribución y sus posibles causas.</t>
  </si>
  <si>
    <t>E3 · Predice el patrón de distribución esperado para una especie territorial y para una que depende de recursos agrupados.</t>
  </si>
  <si>
    <t>Ecología y ambiente</t>
  </si>
  <si>
    <t>E1 · Recuerda lo visto en grados anteriores sobre los alimentos energéticos y reconoce la caña de azúcar y el maíz como fuentes salvadoreñas de carbohidratos.</t>
  </si>
  <si>
    <t>D1 · Pregunta guía: «¿Por qué la caña almacena sacarosa en el tallo y el maíz almacena almidón en el grano?».</t>
  </si>
  <si>
    <t>Comunicación (Aproximar)
Describe a la clase, con términos técnicos, las diferencias de distribución observadas entre un cafetal y un bosque.</t>
  </si>
  <si>
    <t>E2 · Representa la glucosa en forma lineal y cíclica e identifica los grupos hidroxilo y el grupo carbonilo que definen la función carbohidrato.</t>
  </si>
  <si>
    <t>Malla oficial 11.° grado, Unidad 8 (4 semanas oficiales)</t>
  </si>
  <si>
    <t>D4 · Interpreta los resultados de la prueba de Lugol, realizada con gafas y guantes, en muestras de almidón de maíz, azúcar de mesa y papel para concluir cuáles contienen almidón.</t>
  </si>
  <si>
    <t>E6 · Valora la importancia de la caña de azúcar en la economía salvadoreña y relaciona la sacarosa que produce la planta con su función energética.</t>
  </si>
  <si>
    <t>8.2–8.3 como integración de lo visto en 10.°.</t>
  </si>
  <si>
    <t>Aplicar: calcular densidad y relación varianza-media. Razonar: inferir causas de un patrón espacial</t>
  </si>
  <si>
    <t>Comunicación (Explicar)
Explica a su equipo, con vocabulario químico preciso, cómo los grupos funcionales definen a un carbohidrato.</t>
  </si>
  <si>
    <t>Tabla de conteos por cuadrante con densidad, relación varianza-media y patrón de distribución justificado</t>
  </si>
  <si>
    <t>Conocer: identificar grupos funcionales y estructuras de los carbohidratos. Aplicar: representar estructuras</t>
  </si>
  <si>
    <t>Biotecnología microbiana</t>
  </si>
  <si>
    <t>Ficha con las estructuras lineal y cíclica de la glucosa rotuladas y tabla de resultados de la prueba de Lugol</t>
  </si>
  <si>
    <t>INDAGACIÓN: Construir y contrastar modelos matemáticos de crecimiento y de interacción entre poblaciones con datos publicados o simulados, para explicar las fluctuaciones de las poblaciones naturales y fundamentar decisiones de conservación.</t>
  </si>
  <si>
    <t>CREATIVIDAD: Desarrollar estrategias experimentales o proyectos colaborativos para identificar, extraer o demostrar las propiedades de un grupo de biomoléculas, o representar su estructura y funciones metabólicas.</t>
  </si>
  <si>
    <t>Oficial + 3 temas nuevos</t>
  </si>
  <si>
    <t>Tecnología</t>
  </si>
  <si>
    <t>Malla oficial 11.° grado, Unidad 5 (4 semanas oficiales)</t>
  </si>
  <si>
    <t>7.1. Determina el patrón de distribución espacial de una población (uniforme, aleatorio o agregado) calculando la densidad y la relación varianza-media de conteos por cuadrantes.</t>
  </si>
  <si>
    <t>1.1. Identifica la función carbohidrato y sus estructuras.</t>
  </si>
  <si>
    <t>Oficial + 3 temas propuestos sobre virus.</t>
  </si>
  <si>
    <t>Las biomoléculas son polímeros orgánicos constitutivos de los seres vivos. Sus propiedades físicas y químicas son determinantes para las funciones que pueden cumplir en el organismo.</t>
  </si>
  <si>
    <t>Las poblaciones cambian en el tiempo según sus tasas de natalidad, mortalidad y migración, y según las relaciones que establecen con individuos de su misma especie y de otras especies. Los modelos matemáticos permiten estimar tamaños poblacionales, predecir la capacidad de carga de un ambiente y anticipar la respuesta de una población ante la explotación o la protección, lo que es esencial para manejar recursos pesqueros y conservar especies amenazadas.</t>
  </si>
  <si>
    <t>Biotecnología vegetal y agroindustria</t>
  </si>
  <si>
    <t>Malla oficial 11.° grado, Unidad 6 (6 semanas oficiales)</t>
  </si>
  <si>
    <t>Bases genéticas de la evolución</t>
  </si>
  <si>
    <t>Malla oficial 11.° grado, Unidad 3 (5 semanas oficiales)</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</si>
  <si>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</si>
  <si>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</si>
  <si>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Análisis de biodiversidad</t>
  </si>
  <si>
    <t>Malla oficial 11.° grado, Unidad 4 (4 semanas oficiales)</t>
  </si>
  <si>
    <t>Mecánica de fluidos en los seres vivos</t>
  </si>
  <si>
    <r>
      <rPr>
        <rFont val="Arial"/>
        <color theme="1"/>
        <sz val="9.0"/>
      </rPr>
      <t>Buscar y filtrar en GBIF registros de presencia de una especie nativa, como el garrobo, para observar su distribución en El Salvador.</t>
    </r>
    <r>
      <rPr>
        <rFont val="Arial"/>
        <color rgb="FF7030A0"/>
        <sz val="9.0"/>
      </rPr>
      <t xml:space="preserve">
IA (Indagar · el estudiante, solo o en pareja).
Herramienta y medio: app Seek (gratis, sin crear cuenta) en el celular o la tableta.
Actividad: Elige una especie abundante del patio (una planta o hormigueros) y confírmala con Seek. Predice si su distribución es agrupada, uniforme o al azar. Cuenta individuos en 10 cuadrantes iguales, calcula la densidad, la media y la varianza y su razón. Compara con tu predicción y explica qué factores ambientales explican el patrón.
Evidencia: Ficha «Yo pienso · La IA dice · Lo comprobé»: predicción, especie según la IA rotulada «hecho con IA», tabla de conteos, cálculo de varianza/media y patrón obtenido. Línea en el registro de uso de IA.
→ PISA D4 · TIMSS Razonar</t>
    </r>
  </si>
  <si>
    <r>
      <rPr>
        <rFont val="Arial"/>
        <color theme="1"/>
        <sz val="9.0"/>
      </rPr>
      <t>Buscar en PubChem las fichas de glucosa, fructosa y sacarosa filtrando por nombre y comparar sus fórmulas moleculares.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Sin ayuda, dibuja la glucosa en forma lineal y cíclica y marca los grupos hidroxilo y el carbonilo. Luego pregúntale al cuaderno NotebookLM de la unidad: «¿Qué grupos funcionales tienen la glucosa, la fructosa y la sacarosa y en qué se diferencian?». Compara su respuesta con tu dibujo y con las fichas de PubChem: número de carbonos, aldehído o cetona y fórmula molecular. Revisa qué fuente cita el cuaderno en cada dato.
Evidencia: Ficha «Yo pienso · La IA dice · Lo comprobé»: en «Yo pienso» tus dibujos rotulados; en «La IA dice» la respuesta rotulada «Respuesta de IA» con la fuente que citó; en «Lo comprobé» la fórmula de PubChem de cada azúcar. Marca ✔/✘ cada dato de la IA y anota una línea en tu registro de uso de IA.
→ PISA E6 · TIMSS Aplicar</t>
    </r>
  </si>
  <si>
    <t>Aplica Física 10.° «Mecánica de fluidos».</t>
  </si>
  <si>
    <t>Uso ético de la información
Cita la base de datos PubChem y la fecha de consulta en cada estructura que incorpora a su ficha.
↳ Se trabaja en la actividad digital (DigComp 1.1).</t>
  </si>
  <si>
    <t>Total 11.° grado (2.° Bachillerato)</t>
  </si>
  <si>
    <t>6 unidades</t>
  </si>
  <si>
    <t>Todos los estándares para la denominación, nomenclatura, escritura y representación de compuestos orgánicos deberán ser compatibles con las disposiciones de la IUPAC.^3,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 ^6 No se recomienda emplear las notaciones para aminoácidos ambiguos ni para bases nitrogenadas degeneradas.^7</t>
  </si>
  <si>
    <t>Uso ético de la información
Cita el conjunto de datos de GBIF utilizado con su identificador y reconoce a las personas que registraron las observaciones.
↳ Se trabaja en la actividad digital (DigComp 1.1).</t>
  </si>
  <si>
    <t>Oficial
Malla 10.° grado, U6 · 6.1</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</si>
  <si>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Lepidochelys olivacea). Simbología utilizada para la representación de magnitudes de interés en la unidad: N: tamaño poblacional, en número de individuos. D: densidad poblacional, en individuos por unidad de área, ind/m² o ind/ha. t: tiempo, en años, meses o generaciones según el caso. r: tasa intrínseca de crecimiento, por unidad de tiempo. K: capacidad de carga, en número de individuos. M: individuos marcados en la primera muestra. C: individuos capturados en la segunda muestra. R: individuos recapturados con marca. lx: proporción de sobrevivientes al inicio de la edad x. H: tamaño de la población de presas. P: tamaño de la población de depredadores. e: base de los logaritmos naturales, aproximadamente 2.718.</t>
  </si>
  <si>
    <t>Clasificación y propiedades</t>
  </si>
  <si>
    <t>1.2. Interpretación de las clasificaciones y las propiedades de los carbohidratos.</t>
  </si>
  <si>
    <t>Crecimiento poblacional</t>
  </si>
  <si>
    <t>E1 · Identifica monosacáridos, disacáridos y polisacáridos presentes en alimentos de la dieta salvadoreña como la tortilla, la panela y las frutas.</t>
  </si>
  <si>
    <t>Crecimiento exponencial
Crecimiento logístico
Capacidad de carga</t>
  </si>
  <si>
    <t>E5 · Propone una hipótesis sobre por qué el azúcar de mesa se disuelve con facilidad en agua fría y el almidón de maíz no.</t>
  </si>
  <si>
    <t>7.3. Modelización del crecimiento poblacional con los modelos exponencial y logístico y determinación de la capacidad de carga.</t>
  </si>
  <si>
    <t>E1 · Explica la clasificación de los carbohidratos por el número de unidades y por el grupo carbonilo (aldosas y cetosas), y relaciona su solubilidad con los grupos hidroxilo.</t>
  </si>
  <si>
    <t>D2 · Diseña una prueba comparativa de solubilidad en agua de glucosa, sacarosa y almidón de maíz controlando la temperatura y la cantidad de soluto.</t>
  </si>
  <si>
    <t>E3 · Predice la solubilidad de la celulosa del papel a partir de la clasificación trabajada y justifica su predicción con la estructura del polímero.</t>
  </si>
  <si>
    <t>Colaboración (Indagar)
Distribuye en el equipo los roles de medición, registro y control de variables durante la prueba de solubilidad.</t>
  </si>
  <si>
    <t>E6 · Reflexiona sobre qué ocurre cuando una especie introducida, como el pez diablo en ríos y embalses de Centroamérica, crece sin control.</t>
  </si>
  <si>
    <t>E3 · Predice la forma de la gráfica del tamaño de una población de levaduras con alimento limitado y justifica la predicción.</t>
  </si>
  <si>
    <t>Conocer: reconocer las clasificaciones y propiedades de los carbohidratos. Aplicar: clasificar ejemplos con criterios</t>
  </si>
  <si>
    <t>E4 · Usa los modelos N = N₀eʳᵗ y dN/dt = rN(1 − N/K) para explicar la diferencia entre curvas en J y en S.</t>
  </si>
  <si>
    <t>Cuadro de clasificación de carbohidratos con ejemplos locales y tabla de solubilidad con conclusión</t>
  </si>
  <si>
    <t>D4 · Ajusta ambos modelos a datos publicados de crecimiento de una población y estima r y K a partir de la gráfica.</t>
  </si>
  <si>
    <t>I5 · Justifica con el modelo logístico por qué una pesquería rinde más cuando la población se mantiene cerca de K/2.</t>
  </si>
  <si>
    <t>1.2. Reconoce las clasificaciones y propiedades de los carbohidratos.</t>
  </si>
  <si>
    <t>Pensamiento crítico (Explicar)
Contrasta el ajuste de ambos modelos a los datos y argumenta cuál describe mejor la población.</t>
  </si>
  <si>
    <t>Aplicar: calcular y graficar modelos de crecimiento. Razonar: seleccionar el modelo que mejor describe los datos</t>
  </si>
  <si>
    <t>Gráfica de datos poblacionales con curvas exponencial y logística ajustadas y valores estimados de r y K</t>
  </si>
  <si>
    <t>7.3. Ajusta los modelos exponencial y logístico a series de datos poblacionales y estima la tasa intrínseca de crecimiento y la capacidad de carga.</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</si>
  <si>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</si>
  <si>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</si>
  <si>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Reelaborar en un organizador gráfico digital la clasificación de carbohidratos integrando imágenes de estructuras descargadas de PubChem.</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Predice por escrito qué se disuelve mejor en agua fría: azúcar de mesa, maicena o un trocito de papel, y justifícalo con la clasificación (mono, di o polisacárido). Prueba en tres vasos con la misma cantidad de agua y de muestra, y agita el mismo tiempo. Después pregúntale a Gemini: «Ordena sacarosa, almidón y celulosa según su solubilidad en agua fría y explica la causa por su estructura». Compara su orden y su explicación con lo que observaste.
Evidencia: Ficha «Yo pienso · La IA dice · Lo comprobé»: en «Yo pienso» tu orden y tu razón; en «La IA dice» su orden rotulado «Respuesta de IA»; en «Lo comprobé» tabla «Muestra · ¿Se disolvió? · Tiempo» con tus observaciones. Marca ✔/✘ cada dato de la IA y anota una línea en tu registro de uso de IA.
→ PISA D2 · TIMSS Razonar</t>
    </r>
  </si>
  <si>
    <t>Uso ético de la información
Atribuye cada imagen de estructura a PubChem e indica sus condiciones de uso y la fecha de descarga.
↳ Se trabaja en la actividad digital (DigComp 3.2).</t>
  </si>
  <si>
    <t>Oficial
Malla 10.° grado, U6 · 6.2</t>
  </si>
  <si>
    <r>
      <rPr>
        <rFont val="Arial"/>
        <color theme="1"/>
        <sz val="9.0"/>
      </rPr>
      <t>Explorar con deslizadores en GeoGebra el efecto de r y K sobre la curva logística y compararla con los datos.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Cultiva lenteja de agua (Lemna) en un recipiente y cuenta las hojitas cada dos días durante tres semanas. Predice cuándo dejará de crecer rápido. Grafica tus datos y estima r y K. Luego dale la tabla a la IA: «Ajusta un modelo exponencial y uno logístico a estos datos y estima r y K». Compara sus valores con los tuyos y decide qué modelo describe mejor tu población.
Evidencia: Ficha «Yo pienso · La IA dice · Lo comprobé»: tabla y gráfica propias, tus estimaciones, Respuesta de IA rotulada y comparación. Línea en el registro de uso de IA.
→ PISA D4 · TIMSS Razonar</t>
    </r>
  </si>
  <si>
    <t>Respeto al medio ambiente, entorno y territorio
Argumenta cómo la sobreexplotación de recursos pesqueros del golfo de Fonseca reduce la población por debajo de su capacidad de recuperación.</t>
  </si>
  <si>
    <t>Polisacáridos</t>
  </si>
  <si>
    <t>1.3. Explicación de la importancia de los polisacáridos y su metabolismo.</t>
  </si>
  <si>
    <t>Estrategias r y K
Tablas de vida
Curvas de supervivencia</t>
  </si>
  <si>
    <t>E6 · Relaciona el bagazo de caña que queman los ingenios salvadoreños para generar electricidad con la celulosa como polisacárido estructural.</t>
  </si>
  <si>
    <t>7.4. Construcción de tablas de vida y curvas de supervivencia para caracterizar las estrategias r y K.</t>
  </si>
  <si>
    <t>D1 · Pregunta guía: «¿Por qué las personas digieren el almidón de la tortilla pero no la celulosa de la hoja de plátano?».</t>
  </si>
  <si>
    <t>E4 · Modela con cuentas o clips la diferencia entre la estructura ramificada del glucógeno, la del almidón y la lineal de la celulosa, y relaciona cada forma con su función.</t>
  </si>
  <si>
    <t>I1 · Busca en fuentes académicas cómo se almacena el glucógeno en el hígado y el músculo y cómo se moviliza, en términos generales, durante el ayuno y el ejercicio.</t>
  </si>
  <si>
    <t>E1 · Recuerda especies con muchas crías y poco cuidado parental, como los sapos, y otras con pocas crías y mucho cuidado, como el mono araña.</t>
  </si>
  <si>
    <t>I2 · Distingue evidencia de opinión en mensajes de redes sociales sobre dietas sin carbohidratos comparándolos con la función del glucógeno y del almidón.</t>
  </si>
  <si>
    <t>E5 · Plantea una hipótesis sobre por qué una tortuga marina pone más de cien huevos por nidada y un venado solo una cría.</t>
  </si>
  <si>
    <t>Pensamiento crítico (Reforzar)
Evalúa la validez de afirmaciones sobre dietas sin carbohidratos contrastándolas con la función de los polisacáridos de reserva.</t>
  </si>
  <si>
    <t>E2 · Calcula la columna lx de una tabla de vida y construye curvas de supervivencia en escala logarítmica.</t>
  </si>
  <si>
    <t>Conocer: describir los polisacáridos de reserva y estructurales y su metabolismo. Aplicar: modelar estructuras</t>
  </si>
  <si>
    <t>D4 · Interpreta tablas de vida publicadas de tres especies y las clasifica en curvas de tipo I, II y III.</t>
  </si>
  <si>
    <t>Infografía comparativa de almidón, glucógeno y celulosa con su estructura, función y metabolismo general</t>
  </si>
  <si>
    <t>E3 · Justifica qué estrategia reproductiva es más vulnerable ante la pérdida de hábitat y por qué.</t>
  </si>
  <si>
    <t>Creatividad (Reforzar)
Diseña una ficha ilustrada original de una especie salvadoreña que muestre su estrategia reproductiva y su curva de supervivencia.</t>
  </si>
  <si>
    <t>1.3. Explica la importancia de los polisacáridos y su metabolismo.</t>
  </si>
  <si>
    <t>Aplicar: construir tablas de vida y curvas de supervivencia. Razonar: clasificar estrategias con datos</t>
  </si>
  <si>
    <t>Tabla de vida completa con curva de supervivencia en escala logarítmica y clasificación argumentada de tres especies</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</si>
  <si>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</si>
  <si>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7.4. Construye curvas de supervivencia a partir de tablas de vida y clasifica especies según su estrategia reproductiva r o K.</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</si>
  <si>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</si>
  <si>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Crear una infografía digital sobre almidón, glucógeno y celulosa con esquemas propios elaborados en un editor gráfico.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Copia (sin nombres de usuarios) dos mensajes de redes sociales sobre dietas «sin carbohidratos». Subraya tú qué parte es evidencia y qué parte es opinión. Luego pregúntale al cuaderno NotebookLM: «Según las fuentes, ¿qué función cumplen el almidón y el glucógeno en el cuerpo?». Usa su respuesta para revisar cada afirmación del mensaje. El cuaderno no da consejos de dieta: si los pide, anota que no es su función.
Evidencia: Ficha «Yo pienso · La IA dice · Lo comprobé»: en «Yo pienso» los mensajes con evidencia y opinión subrayadas de distinto color; en «La IA dice» la función citada rotulada «Respuesta de IA»; en «Lo comprobé» qué afirmación quedó sin respaldo. Marca ✔/✘ cada dato de la IA y anota una línea en tu registro de uso de IA.
Refuerza con: MINSAL (https://www.salud.gob.sv)
→ PISA I2 · TIMSS Aplicar</t>
    </r>
  </si>
  <si>
    <t>Respeto al medio ambiente, entorno y territorio
Analiza el aprovechamiento del bagazo de caña como biomasa y sus efectos sobre la calidad del aire en las zonas cañeras.</t>
  </si>
  <si>
    <t>Oficial
Malla 10.° grado, U6 · 6.3</t>
  </si>
  <si>
    <r>
      <rPr>
        <rFont val="Arial"/>
        <color theme="1"/>
        <sz val="9.0"/>
      </rPr>
      <t>Organizar tablas de vida en una hoja de cálculo con fórmulas para lx y graficar en escala logarítmica.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datos de supervivencia publicados de una especie (tortuga marina, aves o plantas anuales), construye la tabla de vida y la curva de supervivencia en escala logarítmica. Predice si la especie es estratega r o K. Sube al cuaderno de NotebookLM la fuente de los datos y textos de ecología y pregúntale: «¿Qué tipo de curva de supervivencia tiene esta especie y por qué? Cita la fuente». Compara con tu gráfica.
Evidencia: Ficha «Yo pienso · La IA dice · Lo comprobé»: tabla de vida, curva propia, Respuesta de IA rotulada con cita y tu conclusión sobre la estrategia. Línea en el registro de uso de IA.
→ PISA E3 · TIMSS Aplicar</t>
    </r>
  </si>
  <si>
    <t>Respeto al medio ambiente, entorno y territorio
Relaciona las estrategias K de especies como el mono araña con su mayor vulnerabilidad ante la deforestación.</t>
  </si>
  <si>
    <t>Lípidos</t>
  </si>
  <si>
    <t>Clasificación</t>
  </si>
  <si>
    <t>1.4. Reconocimiento de los lípidos y su clasificación general.</t>
  </si>
  <si>
    <t>Relaciones entre organismos</t>
  </si>
  <si>
    <t>Competencia intraespecífica
Territorialidad y jerarquías
Cooperación y vida en grupo</t>
  </si>
  <si>
    <t>E1 · Recuerda los alimentos grasos de la dieta cotidiana y reconoce la manteca, el aceite de coco y el aguacate como fuentes de lípidos.</t>
  </si>
  <si>
    <t>7.5. Análisis de relaciones intraespecíficas y de su efecto dependiente de la densidad sobre el crecimiento poblacional.</t>
  </si>
  <si>
    <t>E5 · Propone una hipótesis sobre por qué la manteca es sólida y el aceite vegetal es líquido a temperatura ambiente.</t>
  </si>
  <si>
    <t>E2 · Organiza en un diagrama la clasificación general de lípidos saponificables e insaponificables con un ejemplo biológico de cada grupo.</t>
  </si>
  <si>
    <t>D4 · Interpreta la prueba de la mancha translúcida en papel con muestras de aceite, agua, jugo y semillas trituradas para concluir cuáles contienen lípidos.</t>
  </si>
  <si>
    <t>E1 · Recuerda ejemplos de vida en grupo, como los cardúmenes de sardinas, las colonias de zompopos y las bandadas de pericos.</t>
  </si>
  <si>
    <t>I4 · Identifica fallas en un mensaje que afirma que todos los lípidos dañan la salud, usando la función de los fosfolípidos y de las hormonas esteroideas.</t>
  </si>
  <si>
    <t>Creatividad (Aproximar)
Crea una analogía visual original que represente la diferencia entre grasas saturadas e insaturadas.</t>
  </si>
  <si>
    <t>Conocer: reconocer los lípidos y su clasificación general. Aplicar: clasificar y realizar una prueba cualitativa</t>
  </si>
  <si>
    <t>Diagrama de clasificación de lípidos con ejemplos y registro de la prueba de la mancha translúcida</t>
  </si>
  <si>
    <t>D1 · Pregunta guía: «¿Por qué el crecimiento de una población se frena cuando aumenta su densidad?».</t>
  </si>
  <si>
    <t>1.4. Reconoce la función lípidos y su clasificación general.</t>
  </si>
  <si>
    <t>E1 · Clasifica relaciones intraespecíficas en competencia, territorialidad, jerarquía y cooperación a partir de casos descritos.</t>
  </si>
  <si>
    <t>D4 · Analiza datos de experimentos de siembra a distintas densidades y concluye cómo la competencia afecta la biomasa por planta.</t>
  </si>
  <si>
    <t>E6 · Explica la importancia de la densidad de siembra en cultivos de maíz y frijol para el rendimiento agrícola.</t>
  </si>
  <si>
    <r>
      <rPr>
        <rFont val="Arial"/>
        <color theme="1"/>
        <sz val="9.0"/>
      </rPr>
      <t>1.2 Evaluación de la información – Básico</t>
    </r>
    <r>
      <rPr>
        <rFont val="Arial"/>
        <color rgb="FF7030A0"/>
        <sz val="9.0"/>
      </rPr>
      <t xml:space="preserve">
Con la IA (DigComp 3.0, nivel real): CS1.2.08 – Intermedio: reconoce que los datos con que se entrena una IA influyen en qué tan confiable es.</t>
    </r>
  </si>
  <si>
    <t>Comunicación (Explorar)
Comparte en plenaria ejemplos de relaciones intraespecíficas observadas en su comunidad y los clasifica con el grupo.</t>
  </si>
  <si>
    <t>Conocer: clasificar relaciones intraespecíficas. Aplicar: analizar datos de densidad. Razonar: explicar la regulación dependiente de la densidad</t>
  </si>
  <si>
    <t>Gráfica de biomasa por planta frente a densidad de siembra con explicación de la competencia intraespecífica</t>
  </si>
  <si>
    <t>7.5. Explica con datos cómo la competencia intraespecífica y la cooperación regulan el crecimiento de una población según su densidad.</t>
  </si>
  <si>
    <r>
      <rPr>
        <rFont val="Arial"/>
        <color theme="1"/>
        <sz val="9.0"/>
      </rPr>
      <t>Evaluar la fiabilidad de dos fuentes digitales sobre los tipos de grasa comparando autoría, fecha y respaldo científico, priorizando OMS y MINSAL.</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Haz la prueba de la mancha en papel con aceite, agua, jugo y semillas trituradas (maní, marañón). Toma 20 fotos de manchas translúcidas de grasa y 20 de manchas de agua ya secas y entrena un modelo de imágenes en Teachable Machine. Antes de probarlo con muestras nuevas (aguacate, coco, tortilla), escribe tu predicción. Anota en qué casos el modelo se equivoca y explica si fue por la luz, el fondo o pocos ejemplos.
Evidencia: Ficha «Yo pienso · La IA dice · Lo comprobé»: en «Yo pienso» tu predicción por muestra; en «La IA dice» la clase y el porcentaje del modelo rotulados «Respuesta de IA»; en «Lo comprobé» lo que viste a contraluz y la posible causa de cada error del modelo. Marca ✔/✘ cada dato de la IA y anota una línea en tu registro de uso de IA.
→ PISA D4 · TIMSS Razonar</t>
    </r>
  </si>
  <si>
    <r>
      <rPr>
        <rFont val="Arial"/>
        <color theme="1"/>
        <sz val="9.0"/>
      </rPr>
      <t>2.1 Interacción a través de y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</si>
  <si>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t>Uso ético de la información
Reconoce la autoría de las fuentes consultadas y evita difundir información sin verificar sobre las grasas.
↳ Se trabaja en la actividad digital (DigComp 1.2).</t>
  </si>
  <si>
    <t>Oficial
Malla 10.° grado, U6 · 6.4</t>
  </si>
  <si>
    <t>Tipos</t>
  </si>
  <si>
    <r>
      <rPr>
        <rFont val="Arial"/>
        <color theme="1"/>
        <sz val="9.0"/>
      </rPr>
      <t>Intercambiar mensajes en el foro del aula virtual con productores o técnicos agrícolas invitados sobre densidades de siembra.</t>
    </r>
    <r>
      <rPr>
        <rFont val="Arial"/>
        <color rgb="FF7030A0"/>
        <sz val="9.0"/>
      </rPr>
      <t xml:space="preserve">
IA (Indagar · el estudiante, solo o en pareja).
Herramienta y medio: app BirdNET (birdnet.cornell.edu) en el celular; funciona sin internet.
Actividad: Escoge un ave territorial común (por ejemplo, el cenzontle). Predice cuántos territorios hay alrededor de tu colonia o escuela. Graba cantos con BirdNET en 6 puntos separados al amanecer y marca en un croquis dónde se detecta la especie con confianza alta. Estima los territorios y explica cómo la territorialidad limita la densidad de la población.
Evidencia: Ficha «Yo pienso · La IA dice · Lo comprobé»: predicción, croquis con puntos y detecciones rotulado «hecho con IA», tabla «Punto · Confianza · ¿Válida?» y explicación. Línea en el registro de uso de IA.
Refuerza con: iNaturalist: observaciones de El Salvador (consulta sin cuenta) (https://www.inaturalist.org)
→ PISA D4 · TIMSS Razonar</t>
    </r>
  </si>
  <si>
    <t>1.5. Explicación del metabolismo de lípidos.</t>
  </si>
  <si>
    <t>Convivir
Formula preguntas respetuosas a los invitados y agradece la información compartida.
↳ Se trabaja en la actividad digital (DigComp 2.1).</t>
  </si>
  <si>
    <t>U1 - Eje integrador: sistemas</t>
  </si>
  <si>
    <t>E6 · Reconoce la importancia de las reservas de grasa en animales que migran, como las aves que visitan cada año los humedales de la bahía de Jiquilisco.</t>
  </si>
  <si>
    <t>D1 · Pregunta guía: «¿Por qué el cuerpo almacena la energía de largo plazo como grasa y no como glucógeno?».</t>
  </si>
  <si>
    <t>E4 · Describe con un esquema general la lipólisis, el transporte de ácidos grasos a la mitocondria y la β-oxidación como fuente de acetil-CoA, sin detallar las rutas posteriores.</t>
  </si>
  <si>
    <t>I3 · Argumenta con datos de energía por gramo, unos 37 kJ/g para lípidos frente a 17 kJ/g para carbohidratos, por qué los lípidos son la reserva más eficiente.</t>
  </si>
  <si>
    <t>E3 · Predice qué reserva energética utiliza primero el organismo durante un ayuno prolongado y justifica su predicción con el esquema elaborado.</t>
  </si>
  <si>
    <t>Comunicación (Reforzar)
Explica oralmente a otro equipo el esquema del metabolismo de lípidos usando vocabulario científico preciso.</t>
  </si>
  <si>
    <t>Flujo de energía y materiales en los ecosistemas</t>
  </si>
  <si>
    <t>Conocer: describir las etapas generales del metabolismo de los lípidos. Aplicar: calcular energía por gramo</t>
  </si>
  <si>
    <t>Productividad 
Demanda bioquímica de oxígeno (DBO)</t>
  </si>
  <si>
    <t>Esquema rotulado del metabolismo general de lípidos y cálculo comparativo de energía almacenada por gramo</t>
  </si>
  <si>
    <t>1.1. Estimación de la productividad y DBO en las comunidades biológicas.</t>
  </si>
  <si>
    <t>1.6. Describe el proceso general del me- tabolismo de los lípidos.</t>
  </si>
  <si>
    <t>Propone una estrategia para transformar su entorno en una comunidad sostenible.</t>
  </si>
  <si>
    <t>3.4 Pensamiento computacional y programación – Básico</t>
  </si>
  <si>
    <t>Programar en Python sencillo o en una hoja de cálculo un cálculo que compare la energía almacenada en masas iguales de triglicérido y de glucógeno.</t>
  </si>
  <si>
    <t>Convivir
Revisa el código de un compañero con respeto y sugiere correcciones sin descalificar su trabajo.
↳ Se trabaja en la actividad digital (DigComp 3.4).</t>
  </si>
  <si>
    <t>Oficial
Malla 10.° grado, U6 · 6.6</t>
  </si>
  <si>
    <t>Apropiación de hábitos de consumo y disposición final de residuos encaminados a reducir su huella ecológica. Conciencia del estado actual de las problemáticas ambientales globales y de las acciones que pueden ayudar a combatirlas.</t>
  </si>
  <si>
    <t>Proteínas</t>
  </si>
  <si>
    <t>Aminoácidos</t>
  </si>
  <si>
    <t>1.6. Reconocimiento de la estructura de los aminoácidos y su estereoquímica.</t>
  </si>
  <si>
    <t>E1 · Recuerda que las proteínas del frijol y del maíz de la dieta salvadoreña están formadas por aminoácidos que el cuerpo obtiene de los alimentos.</t>
  </si>
  <si>
    <t>D1 · Pregunta guía: «¿Qué tienen en común los veinte aminoácidos de las proteínas y qué los hace diferentes entre sí?».</t>
  </si>
  <si>
    <t>E1 · Recuerda lo visto en 9.° sobre fotosíntesis y respiración y lo aplica a un estanque o a una poza del río Lempa.</t>
  </si>
  <si>
    <t>E2 · Representa la estructura general de un aminoácido con el carbono alfa, el grupo amino, el grupo carboxilo y la cadena lateral R, y clasifica cadenas laterales por su polaridad.</t>
  </si>
  <si>
    <t>D1 · Pregunta guía: «¿Cómo se puede saber si un cuerpo de agua produce más oxígeno del que consume su comunidad biológica?».</t>
  </si>
  <si>
    <t>E4 · Construye con plastilina y palillos modelos de L-alanina y D-alanina y demuestra que son imágenes especulares no superponibles.</t>
  </si>
  <si>
    <t>E2 · Representa en un diagrama la productividad primaria bruta, la respiración y la productividad neta de una comunidad acuática.</t>
  </si>
  <si>
    <t>E6 · Explica por qué combinar frijol y maíz aporta aminoácidos esenciales complementarios y su relevancia para la nutrición en El Salvador.</t>
  </si>
  <si>
    <t>Pensamiento crítico (Explorar)
Analiza por qué casi todas las proteínas de los seres vivos usan L-aminoácidos y formula una explicación basada en los modelos.</t>
  </si>
  <si>
    <t>D4 · Interpreta datos de oxígeno disuelto en botellas claras y oscuras incubadas cinco días y calcula la productividad neta y la DBO₅.</t>
  </si>
  <si>
    <t>E6 · Explica qué significa una DBO alta en el río Acelhuate y qué implica para los peces y para las comunidades que usan el agua.</t>
  </si>
  <si>
    <t>Conocer: reconocer la estructura general de los aminoácidos y su quiralidad. Aplicar: construir modelos</t>
  </si>
  <si>
    <t>Colaboración (Indagar)
Reparte en el equipo la lectura de oxígeno disuelto, el registro de datos y los cálculos, y revisa en conjunto los resultados.</t>
  </si>
  <si>
    <t>Modelos físicos de L-alanina y D-alanina con explicación escrita de su estereoquímica</t>
  </si>
  <si>
    <t>1.7. Reconoce la estructura general de los aminoácidos.</t>
  </si>
  <si>
    <t>Conocer: definir productividad y DBO. Aplicar: calcular productividad neta y DBO₅</t>
  </si>
  <si>
    <t>Hoja de cálculo con datos de oxígeno disuelto, cálculo de productividad neta y DBO₅, y conclusión sobre la calidad del agua</t>
  </si>
  <si>
    <t>COMUNICACIÓN: Aplicar técnicas de registro, representación y síntesis de información cuantitativa sobre biodiversidad y ecosistemas para analizar problemáticas ambientales y defender propuestas o posturas para reducir sus impactos.</t>
  </si>
  <si>
    <r>
      <rPr>
        <rFont val="Arial"/>
        <color theme="1"/>
        <sz val="9.0"/>
      </rPr>
      <t>5.2 Identificación de necesidades y respuestas tecnológicas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</si>
  <si>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Seleccionar un visor molecular gratuito en línea adecuado a su dispositivo para rotar los modelos de alanina y comparar su quiralidad.</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Construye con plastilina y palillos la L-alanina y la D-alanina y comprueba si puedes superponerlas. Luego pregúntale a Gemini: «¿La L-alanina y la D-alanina son superponibles? Describe la posición del grupo amino, el carboxilo, el hidrógeno y el metilo». Construye un tercer modelo siguiendo solo su descripción: ¿sale la misma molécula? Señala dónde la IA confundió la orientación, si lo hizo.
Evidencia: Ficha «Yo pienso · La IA dice · Lo comprobé»: en «Yo pienso» el dibujo de tus dos modelos; en «La IA dice» su descripción rotulada «Respuesta de IA»; en «Lo comprobé» la foto del tercer modelo y si coincide con L o con D. Marca ✔/✘ cada dato de la IA y anota una línea en tu registro de uso de IA.
→ PISA E4 · TIMSS Razonar</t>
    </r>
  </si>
  <si>
    <t>1.1. Define los conceptos de productividad y DBO en comunidades biológicas.</t>
  </si>
  <si>
    <t>Convivir
Comparte los materiales de modelado con el equipo y respeta las propuestas de representación de cada integrante.</t>
  </si>
  <si>
    <t>Oficial
Malla 10.° grado, U6 · 6.7</t>
  </si>
  <si>
    <t>La degradación de los ecosistemas, ocasionada principalmente por la sobreexplotación de recursos naturales y la contaminación de distintos tipos, genera múltiples consecuencias adversas observables a nivel mundial. Sin embargo, existen herramientas como la planificación territorial y la restauración de ecosistemas que ayudan a reducir su impacto y proponer soluciones.</t>
  </si>
  <si>
    <t>Enlace peptídico y clasificación de las 
proteínas
Enzimas y vitaminas</t>
  </si>
  <si>
    <t>1.7. Extracción e identificación de proteínas.</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</si>
  <si>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</si>
  <si>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E1 · Relaciona la elaboración de quesillo y cuajada en El Salvador con la separación de la caseína, principal proteína de la leche.</t>
  </si>
  <si>
    <t>D1 · Pregunta guía: «¿Qué ocurre con las proteínas de la leche al agregar vinagre y por qué se separan en grumos?».</t>
  </si>
  <si>
    <t>E1 · Explica el enlace peptídico entre aminoácidos, distingue proteínas estructurales, transportadoras y enzimas, y reconoce que muchas vitaminas actúan como coenzimas.</t>
  </si>
  <si>
    <t>D2 · Realiza la extracción de caseína de leche tibia con vinagre, filtra y pesa el precipitado, y verifica la proteína con el reactivo de Biuret usando gafas y guantes, sin probar el producto.</t>
  </si>
  <si>
    <t>D3 · Evalúa las fuentes de error del procedimiento, como la pérdida de precipitado al filtrar, y propone un control para comparar mejor entre grupos.</t>
  </si>
  <si>
    <t>Creatividad (Explorar)
Propone una variante original del procedimiento, como usar jugo de limón en lugar de vinagre, y predice su efecto.</t>
  </si>
  <si>
    <r>
      <rPr>
        <rFont val="Arial"/>
        <color theme="1"/>
        <sz val="9.0"/>
      </rPr>
      <t>Organiza en una hoja de cálculo las lecturas de oxígeno disuelto de botellas claras y oscuras y programa las fórmulas de productividad y DBO₅.</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los datos de oxígeno disuelto de tus botellas clara, oscura e inicial, calcula a mano la productividad neta, la respiración, la productividad bruta y la DBO. Después dale a la IA los mismos números y pídele: «Calcula paso a paso PPN, R, PPB y DBO con estos datos e indica las unidades». Revisa cada paso: ¿restó en el orden correcto?, ¿confundió botella clara y oscura?, ¿las unidades son mg/L?
Evidencia: Ficha «Yo pienso · La IA dice · Lo comprobé»: tu cálculo, la Respuesta de IA rotulada y una tabla «Paso · Mi resultado · Resultado de la IA · ¿Coincide?» marcando dónde se equivocó la IA. Agrega una línea en tu registro de uso de IA.
→ PISA E6 · TIMSS Aplicar</t>
    </r>
  </si>
  <si>
    <t>Aplicar: ejecutar una extracción y una prueba de identificación. Razonar: evaluar fuentes de error</t>
  </si>
  <si>
    <t>Informe con masa de caseína obtenida, resultado de la prueba de Biuret y análisis de errores</t>
  </si>
  <si>
    <t>Respeto al medio ambiente, entorno y territorio
Propone medidas concretas para reducir las descargas de aguas residuales que elevan la DBO del río estudiado.</t>
  </si>
  <si>
    <t>1.8. Desarrolla un proceso de extracción de proteínas.</t>
  </si>
  <si>
    <r>
      <rPr>
        <rFont val="Arial"/>
        <color theme="1"/>
        <sz val="9.0"/>
      </rPr>
      <t>2.4 Colaboración a través de tecnologías digitales – Básico</t>
    </r>
    <r>
      <rPr>
        <rFont val="Arial"/>
        <color rgb="FF7030A0"/>
        <sz val="9.0"/>
      </rPr>
      <t xml:space="preserve">
Con la IA (DigComp 3.0, nivel real): CS1.2.09 – Intermedio: reconoce que la IA a veces no puede explicar cómo llegó a su respuesta.</t>
    </r>
  </si>
  <si>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Como unidades de medida compatibles con el sistema internacional, podrán utilizarse:
T: temperatura, en kelvin, K, o también en grado Celsius, °C. 
A o S: Área o superficie, en metro cuadrado, m^2, o también en hectárea, ha (10 000 m^2).
V: volúmen, en metro cúbico, m^3, o también en litros, L (0.001 m^3).
Para la definición de la terminología hídrica se tomarán como referencia la Ley General de Recursos Hídricos (decreto 253-2022),^15 y el Glosario Meteorológico del Ministerio de Medio Ambiente y Recursos Naturales (MARN, 2022),^16 o sus respectivas actualizaciones.
Para comparar la aptitud de los cuerpos de agua respecto a los usos prioritarios se empleará el índice de Calidad del Agua General (ICA) propuesto por Brown (1970),^17 o su actualización por parte del MARN.
Para los valores representativos del nivel de contaminación atmosférica y sus efectos en la salud se utilizará el Índice Centroamericano de Calidad del Aire (ICCA),^18 según la reglamentación vigente en El Salvador.</t>
  </si>
  <si>
    <t>Oficial
Malla 11.° grado, U8 · 8.1</t>
  </si>
  <si>
    <r>
      <rPr>
        <rFont val="Arial"/>
        <color theme="1"/>
        <sz val="9.0"/>
      </rPr>
      <t>Registrar en un documento colaborativo del aula virtual las masas de caseína obtenidas por cada grupo para comparar resultados.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Antes de la extracción de caseína con leche tibia y vinagre, escribe por qué crees que se forma el precipitado. Haz la extracción, filtra con tela y pesa el sólido seco. Luego pregúntale al cuaderno NotebookLM: «¿Por qué el vinagre hace precipitar la caseína de la leche y qué tipo de proteína es?». Compara su explicación con la tuya y con tus datos; anota dos fuentes de error que el cuaderno no pudo conocer.
Evidencia: Ficha «Yo pienso · La IA dice · Lo comprobé»: en «Yo pienso» tu hipótesis; en «La IA dice» la explicación rotulada «Respuesta de IA» con su fuente; en «Lo comprobé» la masa de caseína, tus cálculos y dos fuentes de error propias del montaje. Marca ✔/✘ cada dato de la IA y anota una línea en tu registro de uso de IA.
→ PISA D2 · TIMSS Razonar</t>
    </r>
  </si>
  <si>
    <t>Convivir
Respeta los aportes de cada grupo en el documento compartido y no modifica los datos ajenos.
↳ Se trabaja en la actividad digital (DigComp 2.4).</t>
  </si>
  <si>
    <t>Oficial
Malla 10.° grado, U6 · 6.8</t>
  </si>
  <si>
    <t>Ciclos biogeoquímicos</t>
  </si>
  <si>
    <t>1.2. Reconocimiento de procesos biológicos que forman parte de los ciclos biogeoquímicos.</t>
  </si>
  <si>
    <t>Estructura y desnaturalización de las proteínas</t>
  </si>
  <si>
    <t>1.8. Clasificación de las proteínas de acuerdo con diferentes criterios.</t>
  </si>
  <si>
    <t>E1 · Recuerda los ciclos del agua, el carbono y el nitrógeno vistos en grados anteriores y los relaciona con la vida de un cafetal.</t>
  </si>
  <si>
    <t>E3 · Predice qué ocurriría con el nitrógeno del suelo de un cafetal bajo sombra si desaparecieran los árboles de pepeto y las bacterias del suelo.</t>
  </si>
  <si>
    <t>E4 · Clasifica fotosíntesis, respiración, descomposición, fijación de nitrógeno, nitrificación y desnitrificación según el ciclo y el organismo que las realiza.</t>
  </si>
  <si>
    <t>E1 · Observa cómo cambia la clara de huevo al cocinarse y lo relaciona con lo estudiado en grados anteriores sobre cambios en la materia.</t>
  </si>
  <si>
    <t>I1 · Busca en fuentes científicas confiables qué organismos participan en la fijación de nitrógeno en los cultivos salvadoreños de café y frijol.</t>
  </si>
  <si>
    <t>D1 · Pregunta guía: «¿Por qué la clara de huevo cocida no vuelve a ser transparente al enfriarse?».</t>
  </si>
  <si>
    <t>E6 · Explica por qué la pérdida de microorganismos del suelo afecta la productividad agrícola y la calidad del agua en El Salvador.</t>
  </si>
  <si>
    <t>Comunicación (Explicar)
Expone ante la clase una tabla que vincula cada proceso biológico con el organismo que lo realiza y el ciclo en que participa.</t>
  </si>
  <si>
    <t>E2 · Clasifica proteínas por su forma, su composición y su función, y relaciona los niveles de estructura primaria a cuaternaria con la desnaturalización.</t>
  </si>
  <si>
    <t>Conocer: reconocer procesos biológicos de los ciclos. Aplicar: clasificar procesos por ciclo</t>
  </si>
  <si>
    <t>I1 · Investiga en fuentes de la OMS qué son los priones, cómo una proteína mal plegada induce el mal plegamiento de otras y qué enfermedades priónicas afectan a los humanos.</t>
  </si>
  <si>
    <t>Tabla de procesos biológicos con el organismo responsable, el elemento que transforma y el ciclo en que participa</t>
  </si>
  <si>
    <t>I5 · Justifica, a partir de la resistencia de los priones a la desnaturalización, por qué la vigilancia sanitaria de productos bovinos es una medida de salud pública.</t>
  </si>
  <si>
    <t>1.2. Reconoce procesos biológicos que forman parte de los ciclos biogeoquímicos.</t>
  </si>
  <si>
    <t>Colaboración (Reforzar)
Construye con su equipo una tabla comparativa de clasificación de proteínas repartiendo criterios y revisando en conjunto su coherencia.</t>
  </si>
  <si>
    <t>Conocer: describir los niveles de estructura de las proteínas. Aplicar: clasificar con varios criterios</t>
  </si>
  <si>
    <t>Tabla de clasificación de proteínas con ejemplos y ficha informativa sobre priones con fuentes citadas</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</si>
  <si>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</si>
  <si>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1.9. Clasifica a las proteínas empleando diferentes criterios.</t>
  </si>
  <si>
    <r>
      <rPr>
        <rFont val="Arial"/>
        <color theme="1"/>
        <sz val="9.0"/>
      </rPr>
      <t>2.2 Compartir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</si>
  <si>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Busca y filtra artículos científicos y fichas técnicas sobre fijación biológica de nitrógeno usando palabras clave y filtros de fecha.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de memoria los ciclos del carbono y del nitrógeno en un cafetal con sombra de pepeto, marcando qué organismo hace cada proceso. Luego sube al cuaderno de NotebookLM dos fuentes confiables (CENTA y un texto escolar) y pregúntale: «¿Qué organismos fijan, nitrifican y desnitrifican el nitrógeno en un cafetal? Cita la fuente». Corrige tu diagrama solo con lo que la cita confirme.
Evidencia: Ficha «Yo pienso · La IA dice · Lo comprobé»: tu diagrama inicial, la Respuesta de IA rotulada con sus citas y el diagrama corregido con colores distintos para lo que cambiaste. Línea en el registro de uso de IA.
Refuerza con: CENTA (https://www.centa.gob.sv)
→ PISA I1 · TIMSS Razonar</t>
    </r>
  </si>
  <si>
    <t>Uso ético de la información
Cita con autor, año y enlace cada fuente científica consultada sobre los procesos biológicos del suelo.
↳ Se trabaja en la actividad digital (DigComp 1.1).</t>
  </si>
  <si>
    <t>Oficial
Malla 11.° grado, U8 · 8.2</t>
  </si>
  <si>
    <r>
      <rPr>
        <rFont val="Arial"/>
        <color theme="1"/>
        <sz val="9.0"/>
      </rPr>
      <t>Compartir en el aula virtual la tabla de clasificación de proteínas con los enlaces a las fuentes de la OMS consultadas.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Clasifica tú la queratina, la hemoglobina, la caseína y la amilasa por forma (fibrosa o globular) y por función. Después agrega al cuaderno NotebookLM una ficha de la OMS sobre priones y pregúntale: «¿Por qué los priones resisten la desnaturalización y qué estructura cambia en ellos?». Contrasta con tu clasificación y explica, con la estructura terciaria, por qué importa la vigilancia sanitaria bovina. El cuaderno no da consejos médicos.
Evidencia: Ficha «Yo pienso · La IA dice · Lo comprobé»: en «Yo pienso» tu tabla «Proteína · Forma · Función»; en «La IA dice» la explicación sobre priones rotulada «Respuesta de IA»; en «Lo comprobé» la cita exacta de la OMS que la respalda. Marca ✔/✘ cada dato de la IA y anota una línea en tu registro de uso de IA.
→ PISA I5 · TIMSS Aplicar</t>
    </r>
  </si>
  <si>
    <t>Uso ético de la información
Comparte información sobre enfermedades priónicas citando la fuente oficial y sin generar alarma infundada.
↳ Se trabaja en la actividad digital (DigComp 2.2).</t>
  </si>
  <si>
    <t>Oficial
Malla 10.° grado, U6 · 6.9</t>
  </si>
  <si>
    <t>1.3. Representación de los ciclos biogeoquímicos.</t>
  </si>
  <si>
    <t>Ácidos nucleicos</t>
  </si>
  <si>
    <t>E1 · Recuerda cómo funciona un manglar salvadoreño, como los de la bahía de Jiquilisco o de la Barra de Santiago, y qué organismos lo habitan.</t>
  </si>
  <si>
    <t>Núcleotidos y sus funciones</t>
  </si>
  <si>
    <t>E5 · Plantea una hipótesis sobre por qué los suelos de manglar almacenan más carbono por hectárea que un bosque seco de la zona costera.</t>
  </si>
  <si>
    <t>1.9. Identificación de las funciones de los nucleótidos libres.</t>
  </si>
  <si>
    <t>E4 · Construye un modelo del ciclo del carbono en el manglar que integra fotosíntesis, respiración, descomposición anaerobia y sedimentación.</t>
  </si>
  <si>
    <t>D4 · Interpreta datos publicados de carbono almacenado en manglares y bosques terrestres y concluye cuál retiene más carbono.</t>
  </si>
  <si>
    <t>E6 · Explica cómo la tala del manglar para salineras o camaroneras liberaría carbono y alteraría el ciclo en toda la bahía.</t>
  </si>
  <si>
    <t>E1 · Recuerda lo estudiado sobre la energía en los seres vivos y reconoce que las luciérnagas de las zonas rurales usan ATP para producir luz.</t>
  </si>
  <si>
    <t>Creatividad (Reforzar)
Diseña una infografía original que narra el recorrido de un átomo de carbono dentro del manglar desde la atmósfera hasta el sedimento.</t>
  </si>
  <si>
    <t>D1 · Pregunta guía: «¿Por qué un nucleótido que no forma parte del ADN puede ser tan importante para la célula?».</t>
  </si>
  <si>
    <t>Conocer: describir las etapas de un ciclo biogeoquímico. Aplicar: representar un ciclo en un ecosistema concreto</t>
  </si>
  <si>
    <t>Infografía del ciclo del carbono en un manglar salvadoreño con procesos biológicos, reservorios y efecto de la tala</t>
  </si>
  <si>
    <t>E2 · Representa la estructura de un nucleótido e identifica las funciones de ATP, GTP, AMP cíclico, NAD⁺ y FAD como moléculas energéticas, mensajeras y coenzimas.</t>
  </si>
  <si>
    <t>1.3. Explica el desarrollo de un ciclo biogeoquímico.</t>
  </si>
  <si>
    <t>3.1 Desarrollo de contenidos digitales – Básico</t>
  </si>
  <si>
    <t>I1 · Busca en PubChem o en fuentes académicas la estructura del NAD⁺ y reconoce en ella dos nucleótidos unidos por sus grupos fosfato.</t>
  </si>
  <si>
    <t>Elabora la infografía del ciclo del carbono en el manglar con un editor gráfico en línea y la exporta en formato adecuado para el aula virtual.</t>
  </si>
  <si>
    <t>E3 · Predice qué ocurriría con la contracción muscular si la célula no pudiera regenerar ATP y justifica con la función de este nucleótido.</t>
  </si>
  <si>
    <t>Uso ético de la información
Indica la fuente de cada dato de carbono almacenado y el autor de cada imagen utilizada en la infografía.
↳ Se trabaja en la actividad digital (DigComp 3.1).</t>
  </si>
  <si>
    <t>Comunicación (Explicar)
Elabora un cuadro sinóptico con lenguaje científico que comunique la función de cada nucleótido libre estudiado.</t>
  </si>
  <si>
    <t>Oficial
Malla 11.° grado, U8 · 8.3</t>
  </si>
  <si>
    <t>Conocer: identificar componentes y funciones de los nucleótidos libres. Aplicar: relacionar estructura y función</t>
  </si>
  <si>
    <t>Cuadro sinóptico de nucleótidos libres con la estructura y la función de cada uno</t>
  </si>
  <si>
    <t>Problemática ambiental de El Salvador</t>
  </si>
  <si>
    <t>Cambio de uso y degradación del suelo</t>
  </si>
  <si>
    <t>1.5. Análisis del impacto de un cambio en el uso del suelo y los factores que llevan a su degradación.</t>
  </si>
  <si>
    <t>1.10. Identifica las funciones de los nucleótidos libres.</t>
  </si>
  <si>
    <t>E1 · Recuerda lo que sabe sobre la formación de suelos volcánicos y sobre la erosión en laderas de El Salvador.</t>
  </si>
  <si>
    <t>E3 · Predice qué ocurrirá con la infiltración y la erosión si un cafetal bajo sombra se convierte en lotificación o en cultivo limpio.</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</si>
  <si>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</si>
  <si>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E2 · Representa en un esquema cómo la cobertura vegetal, la pendiente y la lluvia determinan la pérdida de suelo.</t>
  </si>
  <si>
    <t>D4 · Interpreta mapas satelitales de cobertura de dos años distintos en una cuenca salvadoreña y calcula el porcentaje de cambio de uso del suelo.</t>
  </si>
  <si>
    <t>I5 · Justifica qué uso del suelo sería más adecuado para una ladera de fuerte pendiente según los datos analizados.</t>
  </si>
  <si>
    <t>Colaboración (Explorar)
Organiza con su equipo un experimento con bandejas de suelo con y sin cobertura bajo lluvia simulada y reparte las mediciones.</t>
  </si>
  <si>
    <t>Aplicar: calcular porcentajes de cambio de cobertura. Razonar: explicar los factores de degradación del suelo</t>
  </si>
  <si>
    <t>Informe con mapas de cobertura comparados, porcentaje de cambio de uso y explicación de la degradación del suelo</t>
  </si>
  <si>
    <t>1.5. Explica los impactos potenciales de un cambio en el uso de suelo y los factores que llevan a su degradación.</t>
  </si>
  <si>
    <r>
      <rPr>
        <rFont val="Arial"/>
        <color theme="1"/>
        <sz val="9.0"/>
      </rPr>
      <t>Organizar en una carpeta digital con nombres claros las fichas de PubChem de ATP, GTP, AMP cíclico, NAD⁺ y FAD para consultarlas después.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tu predicción: ¿qué le pasaría a la contracción muscular si la célula no pudiera regenerar ATP? Luego pídele a Gemini: «Describe la estructura del NAD⁺ y del ATP: cuántos nucleótidos, qué bases y cuántos fosfatos tiene cada uno». Compara su respuesta con las estructuras de PubChem y marca cada dato que no coincida. Por último, compara tu predicción con su explicación sobre el ATP.
Evidencia: Ficha «Yo pienso · La IA dice · Lo comprobé»: en «Yo pienso» tu predicción; en «La IA dice» la descripción rotulada «Respuesta de IA»; en «Lo comprobé» tabla «Molécula · Nucleótidos · Bases · Fosfatos» según PubChem, con los datos erróneos de la IA marcados. Marca ✔/✘ cada dato de la IA y anota una línea en tu registro de uso de IA.
→ PISA E3 · TIMSS Aplicar</t>
    </r>
  </si>
  <si>
    <r>
      <rPr>
        <rFont val="Arial"/>
        <color theme="1"/>
        <sz val="9.0"/>
      </rPr>
      <t>5.2 Identificación de necesidades y respuestas tecnológicas – Básico</t>
    </r>
    <r>
      <rPr>
        <rFont val="Arial"/>
        <color rgb="FF7030A0"/>
        <sz val="9.0"/>
      </rPr>
      <t xml:space="preserve">
Con la IA (DigComp 3.0, nivel real): CS1.2.10 – Intermedio: reconoce que la IA puede dar respuestas equivocadas que parecen ciertas y que quien la usa debe verificarlas.</t>
    </r>
  </si>
  <si>
    <t>Respeto al medio ambiente, entorno y territorio
Relaciona la bioluminiscencia de las luciérnagas con la conservación de hábitats oscuros y libres de contaminación lumínica.</t>
  </si>
  <si>
    <t>Oficial
Malla 10.° grado, U6 · 6.10</t>
  </si>
  <si>
    <r>
      <rPr>
        <rFont val="Arial"/>
        <color theme="1"/>
        <sz val="9.0"/>
      </rPr>
      <t>Selecciona la herramienta de mapas satelitales más adecuada para comparar la cobertura forestal de una cuenca en dos años distintos.</t>
    </r>
    <r>
      <rPr>
        <rFont val="Arial"/>
        <color rgb="FF7030A0"/>
        <sz val="9.0"/>
      </rPr>
      <t xml:space="preserve">
IA (Indagar · el estudiante, solo o en pareja).
Herramienta y medio: Global Nature Watch (globalnaturewatch.org) en el navegador; Gemini (gemini.google.com) con tu cuenta institucional, en el celular, la tableta o la computadora del CRA. Sin internet: usa la respuesta de IA impresa en tu ficha.
Actividad: Elige una ladera de tu zona que pasó de bosque o cafetal a cultivo o lotificación. Escribe tus hipótesis sobre erosión y agua. Revisa el cambio de cobertura en Global Nature Watch. Luego pregúntale a la IA: «¿Qué efectos tiene en el suelo pasar de cafetal con sombra a cultivo limpio en una ladera de El Salvador?». Comprueba con un experimento: riega dos bandejas de tierra inclinadas, una con hojarasca y otra desnuda, y mide el agua turbia.
Evidencia: Ficha «Yo pienso · La IA dice · Lo comprobé»: hipótesis, captura del mapa y Respuesta de IA rotuladas, y tabla «Bandeja · Volumen de agua · Turbidez». Marca qué afirmaciones de la IA confirmó tu experimento. Línea en el registro de uso de IA.
Refuerza con: Global Nature Watch: bosques de El Salvador (https://globalnaturewatch.org/dashboards/country/SLV/)
→ PISA D4 · TIMSS Razonar</t>
    </r>
  </si>
  <si>
    <t>Respeto al medio ambiente, entorno y territorio
Valora la cobertura vegetal de las laderas de su municipio como protección del suelo y del agua.</t>
  </si>
  <si>
    <t>Oficial
Malla 11.° grado, U8 · 8.5</t>
  </si>
  <si>
    <t>Composión y estructura</t>
  </si>
  <si>
    <t>1.10. Interpretación de la estructura química de los ácidos nucleicos.</t>
  </si>
  <si>
    <t>Planificación y gestión territorial</t>
  </si>
  <si>
    <t>1.6. Discusión sobre el abordaje de problemáticas ambientales a través de la planificación y gestión territorial.</t>
  </si>
  <si>
    <t>E1 · Recuerda lo estudiado en grados anteriores sobre herencia y reconoce el ADN y el ARN como moléculas que almacenan y transmiten información.</t>
  </si>
  <si>
    <t>E3 · Predice qué sucederá con el ADN de las células de banano al romper sus membranas con detergente y agregar alcohol frío.</t>
  </si>
  <si>
    <t>E6 · Reconoce en su municipio conflictos de uso del territorio, como construcciones en zonas de recarga acuífera o en riberas de ríos.</t>
  </si>
  <si>
    <t>D1 · Pregunta guía: «¿Cómo puede un plan de ordenamiento territorial evitar inundaciones y la pérdida de zonas de recarga?».</t>
  </si>
  <si>
    <t>E4 · Construye un modelo tridimensional de ADN respetando el apareamiento A-T y G-C, la antiparalelidad y el giro de la doble hélice, y lo compara con una horquilla de ARN.</t>
  </si>
  <si>
    <t>E1 · Aplica los conceptos de zonificación, áreas naturales protegidas y zonas de riesgo al análisis de un mapa municipal.</t>
  </si>
  <si>
    <t>D4 · Extrae ADN de banano con sal, detergente y alcohol frío que dispensa la docente, y relaciona las hebras visibles con la longitud de la molécula.</t>
  </si>
  <si>
    <t>I3 · Argumenta con evidencia cómo la planificación territorial reduce la vulnerabilidad de las comunidades a deslaves e inundaciones.</t>
  </si>
  <si>
    <t>E6 · Explica cómo el análisis de ADN apoya la identificación de personas desaparecidas en El Salvador y reflexiona sobre el uso responsable de la información genética.</t>
  </si>
  <si>
    <t>I4 · Critica propuestas de desarrollo urbano que ignoran los mapas de amenazas y el valor ambiental de las zonas de recarga.</t>
  </si>
  <si>
    <t>Creatividad (Explicar)
Diseña un modelo tridimensional original con materiales reutilizados que represente con precisión la doble hélice.</t>
  </si>
  <si>
    <t>Comunicación (Indagar)
Defiende en un debate estructurado una postura sobre el uso de una zona de recarga acuífera, con argumentos y datos.</t>
  </si>
  <si>
    <t>Conocer: identificar los componentes químicos del ADN y el ARN. Aplicar: construir un modelo a escala</t>
  </si>
  <si>
    <t>Conocer: identificar herramientas de gestión territorial. Razonar: argumentar su valor ambiental</t>
  </si>
  <si>
    <t>Modelo tridimensional de ADN con ficha que explique el apareamiento de bases y las diferencias con el ARN</t>
  </si>
  <si>
    <t>Documento de postura argumentada sobre un conflicto de uso del territorio con mapas y datos de respaldo</t>
  </si>
  <si>
    <t>1.11. Elabora modelos tridimensionales de las estructuras químicas de los ácidos nucleicos.</t>
  </si>
  <si>
    <t>1.6. Argumenta cómo la planificación y la gestión territorial pueden ayudar a combatir la problemática ambiental.</t>
  </si>
  <si>
    <r>
      <rPr>
        <rFont val="Arial"/>
        <color theme="1"/>
        <sz val="9.0"/>
      </rPr>
      <t>3.3 Derechos de autor y licencias – Básico</t>
    </r>
    <r>
      <rPr>
        <rFont val="Arial"/>
        <color rgb="FF7030A0"/>
        <sz val="9.0"/>
      </rPr>
      <t xml:space="preserve">
Con la IA (DigComp 3.0, nivel real): CS4.2.13 – Intermedio: describe qué pasa con la privacidad cuando el contenido compartido se usa para entrenar IA.</t>
    </r>
  </si>
  <si>
    <r>
      <rPr>
        <rFont val="Arial"/>
        <color theme="1"/>
        <sz val="9.0"/>
      </rPr>
      <t>2.4 Colaboración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</si>
  <si>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Consultar estructuras de ADN y ARN en el PDB y citar correctamente la licencia y el código de cada entrada usada en la ficha del modelo.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Después de extraer ADN de banano, dibuja cómo crees que se ven las hebras a nivel molecular. Pregúntale al cuaderno NotebookLM: «¿Por qué el ADN extraído se ve como hebras y cómo se usa el análisis de ADN para identificar personas desaparecidas?». Escribe un párrafo sobre quién debería guardar los datos genéticos y por qué nunca debes subir los tuyos ni los de tu familia a una IA.
Evidencia: Ficha «Yo pienso · La IA dice · Lo comprobé»: en «Yo pienso» tu dibujo; en «La IA dice» la respuesta rotulada «Respuesta de IA» con su fuente; en «Lo comprobé» tu foto de las hebras de banano y el párrafo sobre privacidad genética. Marca ✔/✘ cada dato de la IA y anota una línea en tu registro de uso de IA.
→ PISA E6 · TIMSS Aplicar</t>
    </r>
  </si>
  <si>
    <t>Uso ético de la información
Reconoce la autoría de las estructuras del PDB y las cita según sus condiciones de uso.
↳ Se trabaja en la actividad digital (DigComp 3.3).</t>
  </si>
  <si>
    <t>Oficial
Malla 10.° grado, U6 · 6.11</t>
  </si>
  <si>
    <t>U2 - Eje integrador: sistemas</t>
  </si>
  <si>
    <r>
      <rPr>
        <rFont val="Arial"/>
        <color theme="1"/>
        <sz val="9.0"/>
      </rPr>
      <t>Redacta con su equipo el documento de postura en un procesador de texto compartido, con comentarios y control de cambios.</t>
    </r>
    <r>
      <rPr>
        <rFont val="Arial"/>
        <color rgb="FF7030A0"/>
        <sz val="9.0"/>
      </rPr>
      <t xml:space="preserve">
IA (Reforzar · el estudiante, solo o en pareja).
Herramienta y medio: Google Flood Hub (sites.research.google/floods) en el navegador, sin cuenta.
Actividad: Después de estudiar la planificación territorial, escribe qué zonas de tu municipio no deberían urbanizarse por riesgo de inundación. Abre Google Flood Hub y revisa los ríos con pronóstico en El Salvador (por ejemplo, el Lempa o el Grande de San Miguel). Compara con el Observatorio de Amenazas del MARN. Redacta una propuesta breve de uso del suelo y señala qué parte se apoya en datos de IA y cuál en datos oficiales.
Evidencia: Propuesta de una página con mapa rotulado «hecho con IA», ficha «Yo pienso · La IA dice · Lo comprobé» y declaración de uso de IA («Así usé la IA: … · Lo que revisé yo: …»). Línea en el registro de uso de IA.
Refuerza con: Observatorio de Amenazas (MARN): pronóstico, calidad del aire, hidrología (https://www.snet.gob.sv)
→ PISA I4 · TIMSS Aplicar</t>
    </r>
  </si>
  <si>
    <t>2. Biología celular</t>
  </si>
  <si>
    <t>Convivir
Debate con respeto las posturas contrarias y reconoce los argumentos válidos de otros equipos.
↳ Se trabaja en la actividad digital (DigComp 2.4).</t>
  </si>
  <si>
    <t>Alimentación de las células</t>
  </si>
  <si>
    <t>Transducción de energía en los seres vivos</t>
  </si>
  <si>
    <t>Oficial
Malla 11.° grado, U8 · 8.6</t>
  </si>
  <si>
    <t>2.1. Indagación del uso de energía en los seres vivos a partir de fenómenos cotidianos.</t>
  </si>
  <si>
    <t>Explica el proceso de transcripción de la información genética. Relaciona estructuras y procesos moleculares de las células para explicar el funcionamiento normal de los seres vivos, enfermedades o sucesos ecológicos.</t>
  </si>
  <si>
    <t>Problemática ambiental global</t>
  </si>
  <si>
    <t>Sobreexplotación de recursos naturales
Diversidad de residuos: aparatos eléctricos, electrónicos y microplásticos</t>
  </si>
  <si>
    <t>1.7. Exploración de los recursos naturales más explotados y los principales residuos generados a nivel mundial.</t>
  </si>
  <si>
    <t>Conciencia sobre las múltiples aplicaciones de conocer el funcionamiento de las células.</t>
  </si>
  <si>
    <t>E6 · Reflexiona sobre la cantidad de teléfonos, cargadores y envases plásticos que su familia desecha en un año.</t>
  </si>
  <si>
    <t>E5 · Plantea una hipótesis sobre el origen de los microplásticos encontrados en playas como El Tunco o Costa del Sol.</t>
  </si>
  <si>
    <t>E1 · Aplica el concepto de sobreexplotación a recursos como el agua subterránea, la pesca y los minerales usados en aparatos electrónicos.</t>
  </si>
  <si>
    <t>I1 · Busca y evalúa datos mundiales sobre generación de residuos electrónicos y plásticos en informes de organismos internacionales.</t>
  </si>
  <si>
    <t>E6 · Explica cómo los residuos eléctricos, electrónicos y los microplásticos generados en un país afectan ecosistemas de todo el planeta.</t>
  </si>
  <si>
    <t>Pensamiento crítico (Reforzar)
Contrasta datos de generación de residuos entre países y cuestiona qué factores explican las diferencias.</t>
  </si>
  <si>
    <t>Conocer: reconocer recursos sobreexplotados y tipos de residuos. Aplicar: interpretar datos mundiales</t>
  </si>
  <si>
    <t>E1 · Relaciona fenómenos cotidianos como el calor corporal tras correr, el crecimiento de una planta de maíz y la luz de una luciérnaga con el uso de energía en los seres vivos.</t>
  </si>
  <si>
    <t>Gráfica comentada de generación mundial de residuos electrónicos y plásticos con conclusiones sobre su impacto</t>
  </si>
  <si>
    <t>D1 · Pregunta guía: «¿De dónde obtiene la energía una planta de café y de dónde la obtiene la persona que la cosecha?».</t>
  </si>
  <si>
    <t>1.7. Reconoce la sobreexplotación de recursos y la generación de residuos de distintos tipos como problemáticas con repercusión mundial.</t>
  </si>
  <si>
    <t>E2 · Representa en un diagrama de flujo la transducción de energía luminosa en química en las plantas y de química en mecánica, térmica o luminosa en los animales.</t>
  </si>
  <si>
    <t>I3 · Argumenta con datos publicados de gasto energético de actividades como dormir, caminar o cortar café cómo varía el uso de energía según la actividad.</t>
  </si>
  <si>
    <t>E3 · Predice cómo cambia la temperatura corporal de una iguana al pasar de la sombra al sol y justifica su predicción con el flujo de energía.</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</si>
  <si>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CS1.2.08 – Intermedio: reconoce que los datos con que se entrena una IA influyen en qué tan confiable es.</t>
    </r>
  </si>
  <si>
    <t>Pensamiento crítico (Aproximar)
Cuestiona la idea de que los seres vivos «crean» energía y la contrasta con el principio de conservación de la energía.</t>
  </si>
  <si>
    <t>Conocer: identificar transformaciones de energía en los seres vivos. Aplicar: representarlas con ejemplos cotidianos</t>
  </si>
  <si>
    <t>Diagrama de flujo de transformaciones de energía en tres fenómenos cotidianos con su explicación</t>
  </si>
  <si>
    <t>INDAGACIÓN: Compara sus observaciones e interpretaciones de un experimento o simulación con los fundamentos de biología celular, bioenergética y metabolismo, para generalizar la naturaleza del flujo de energía e información molecular en los seres vivos.</t>
  </si>
  <si>
    <r>
      <rPr>
        <rFont val="Arial"/>
        <color theme="1"/>
        <sz val="9.0"/>
      </rPr>
      <t>Calcula el consumo energético anual de sus dispositivos y averigua los puntos autorizados de recolección de residuos electrónicos en su zona.</t>
    </r>
    <r>
      <rPr>
        <rFont val="Arial"/>
        <color rgb="FF7030A0"/>
        <sz val="9.0"/>
      </rPr>
      <t xml:space="preserve">
IA (Indagar · el estudiante, solo o en pareja).
Herramienta y medio: Climate TRACE (climatetrace.org) en el navegador, sin cuenta.
Actividad: Haz una lista de los aparatos electrónicos que hay en tu casa y estima cuántos se desecharán en 5 años. Luego explora en Climate TRACE qué sectores emiten más en El Salvador y en el mundo (minería, energía, desechos). Escribe qué recursos naturales están detrás de tus aparatos y de esas emisiones. Revisa qué dice el sitio sobre cómo estima la IA los datos y qué incertidumbre tienen.
Evidencia: Ficha «Yo pienso · La IA dice · Lo comprobé»: tu inventario, captura rotulada «hecho con IA» con los sectores y una tabla «Recurso · Aparato · Sector emisor · ¿Dato medido o estimado?». Línea en el registro de uso de IA.
→ PISA I1 · TIMSS Razonar</t>
    </r>
  </si>
  <si>
    <t>Respeto al medio ambiente, entorno y territorio
Se compromete a entregar sus residuos electrónicos en puntos autorizados y a reducir el uso de plásticos de un solo uso.
↳ Se trabaja en la actividad digital (DigComp 4.4).</t>
  </si>
  <si>
    <t>Oficial
Malla 11.° grado, U8 · 8.7</t>
  </si>
  <si>
    <t>2.1. Ejemplifica el uso de energía en los seres vivos a partir de fenómenos cotidianos.</t>
  </si>
  <si>
    <t>Las células son sistemas abiertos altamente organizados. Para mantener su integridad y funciones vitales requieren de energía, materiales constitutivos y un lenguaje para gestionar su información.</t>
  </si>
  <si>
    <t>Calentamiento global y cambio climático
Escasez de agua</t>
  </si>
  <si>
    <t>1.8. Reconocimiento de las causas y consecuencias del cambio climático antropogénico.</t>
  </si>
  <si>
    <t>E1 · Recuerda lo visto sobre el efecto invernadero natural y lo aplica a la temperatura media de la Tierra.</t>
  </si>
  <si>
    <t>E5 · Plantea una hipótesis sobre la relación entre la concentración de CO₂ atmosférico y la temperatura media global desde 1960.</t>
  </si>
  <si>
    <r>
      <rPr>
        <rFont val="Arial"/>
        <color theme="1"/>
        <sz val="9.0"/>
      </rPr>
      <t>2.6 Gestión de la identidad digital – Básico</t>
    </r>
    <r>
      <rPr>
        <rFont val="Arial"/>
        <color rgb="FF7030A0"/>
        <sz val="9.0"/>
      </rPr>
      <t xml:space="preserve">
Con la IA (DigComp 3.0, nivel real): CS1.2.10 – Intermedio: reconoce que la IA puede dar respuestas equivocadas que parecen ciertas y que quien la usa debe verificarlas.</t>
    </r>
  </si>
  <si>
    <t>E2 · Construye gráficas de concentración de CO₂ y de anomalía de temperatura global a partir de series de datos reales.</t>
  </si>
  <si>
    <t>D4 · Interpreta registros de lluvia y sequías del Corredor Seco salvadoreño y concluye cómo el cambio climático afecta la disponibilidad de agua.</t>
  </si>
  <si>
    <t>I2 · Distingue evidencia científica de opiniones en publicaciones que niegan o exageran el cambio climático antropogénico.</t>
  </si>
  <si>
    <t>Creatividad (Explorar)
Propone una forma original de visualizar la relación entre CO₂ y temperatura para comunicarla a estudiantes más jóvenes.</t>
  </si>
  <si>
    <t>Conocer: describir causas y consecuencias del cambio climático. Aplicar: graficar series temporales. Razonar: relacionar causas y consecuencias con evidencia</t>
  </si>
  <si>
    <t>Gráficas de CO₂ y temperatura con análisis escrito de causas y consecuencias del cambio climático en El Salvador</t>
  </si>
  <si>
    <r>
      <rPr>
        <rFont val="Arial"/>
        <color theme="1"/>
        <sz val="9.0"/>
      </rPr>
      <t>Publicar el diagrama de flujo en el aula virtual con su usuario institucional, sin exponer datos personales en el perfil.</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Ordena tú, de menor a mayor gasto de energía, dormir, caminar, estudiar y cortar café. Luego sube al cuaderno NotebookLM una tabla publicada de gasto energético por actividad y pregúntale: «Según la tabla, ¿cuánta energía por hora usa cada actividad?». Grafica los valores y compara con tu orden. Comprueba que cada número del cuaderno aparezca de verdad en la tabla.
Evidencia: Ficha «Yo pienso · La IA dice · Lo comprobé»: en «Yo pienso» tu orden; en «La IA dice» los valores rotulados «Respuesta de IA»; en «Lo comprobé» tu gráfica de barras con los datos de la tabla original y los números de la IA que no coincidieron. Marca ✔/✘ cada dato de la IA y anota una línea en tu registro de uso de IA.
→ PISA I3 · TIMSS Razonar</t>
    </r>
  </si>
  <si>
    <t>1.8. Explica las principales causas y consecuencias del cambio climático antropogénico.</t>
  </si>
  <si>
    <t>Convivir
Comenta con respeto los diagramas publicados por sus compañeros y reconoce sus aciertos.</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</si>
  <si>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</si>
  <si>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t>Cómo se integran sin sobresaturar la secuencia</t>
  </si>
  <si>
    <t>Las unidades de medida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e iones inorgánicos deberán ser compatibles con las disposiciones de la IUPAC.^3, 4,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(ribonucleótido).^6
No se recomienda emplear las notaciones para aminoácidos ambiguos ni para bases nitrogenadas degeneradas.^7</t>
  </si>
  <si>
    <t>1. Una sola habilidad del siglo XXI por tema, trabajada en una fase concreta de la secuencia (no en las cinco).</t>
  </si>
  <si>
    <t>Oficial
Malla 10.° grado, U7 · 7.1</t>
  </si>
  <si>
    <r>
      <rPr>
        <rFont val="Arial"/>
        <color theme="1"/>
        <sz val="9.0"/>
      </rPr>
      <t>Evalúa la fiabilidad de dos fuentes sobre cambio climático comparando autoría, fecha, datos citados y revisión por pares.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tres causas y tres consecuencias del cambio climático para El Salvador (sequía en el Corredor Seco, lluvias intensas, escasez de agua). Pídele a la IA: «Explica las causas y consecuencias del cambio climático antropogénico en El Salvador y cita fuentes». Busca cada fuente que cite: ¿existe?, ¿dice eso? Contrasta con el MARN y con el simulador de efecto invernadero.
Evidencia: Ficha «Yo pienso · La IA dice · Lo comprobé» con la Respuesta de IA rotulada y una tabla «Afirmación · Fuente citada · ¿Existe? · ¿La respalda?». Línea en el registro de uso de IA.
Refuerza con: PhET «Efecto invernadero» (https://phet.colorado.edu/sims/html/greenhouse-effect/latest/greenhouse-effect_es.html) · MARN (https://www.marn.gob.sv)
→ PISA I2 · TIMSS Aplicar</t>
    </r>
  </si>
  <si>
    <t>Uso ético de la información
Comparte solo información climática verificada y cita la fuente original de los datos graficados.
↳ Se trabaja en la actividad digital (DigComp 1.2).</t>
  </si>
  <si>
    <t>Oficial
Malla 11.° grado, U8 · 8.8</t>
  </si>
  <si>
    <t>2. Una sola habilidad transversal por tema, dentro de una actividad que ya existe: no se agregan actividades nuevas.</t>
  </si>
  <si>
    <t>Intercambio de materiales energéticos
Entropía y organización</t>
  </si>
  <si>
    <t>2.2. Análisis de los conceptos de entropía y organización en los seres vivos.</t>
  </si>
  <si>
    <t>Pérdida de biodiversidad
¿la sexta extinción masiva?</t>
  </si>
  <si>
    <t>3. Las cuatro habilidades del siglo XXI rotan dentro de cada unidad, para que todas aparezcan de forma equilibrada.</t>
  </si>
  <si>
    <t>1.9. Análisis de las causas y los impactos globales de la pérdida de biodiversidad.</t>
  </si>
  <si>
    <t>E1 · Observa cómo una hoja de almendro caída se descompone y lo relaciona con la pérdida de organización cuando cesa el aporte de energía.</t>
  </si>
  <si>
    <t>E5 · Formula una hipótesis sobre por qué un organismo vivo mantiene su orden interno mientras que uno muerto se degrada con el tiempo.</t>
  </si>
  <si>
    <t>E1 · Recuerda especies salvadoreñas amenazadas, como la tortuga carey, el pavo de monte o el mono araña, y dónde viven.</t>
  </si>
  <si>
    <t>4. La habilidad transversal se vincula con la actividad digital cuando la competencia DigComp del tema la trabaja (lo indica la flecha ↳).</t>
  </si>
  <si>
    <t>E1 · Explica que los seres vivos son sistemas abiertos que mantienen su organización intercambiando materia y energía, y que aumentan la entropía del entorno al liberar calor y desechos.</t>
  </si>
  <si>
    <t>E3 · Predice qué pasaría con un bosque si desaparecieran sus polinizadores o sus dispersores de semillas.</t>
  </si>
  <si>
    <t>E4 · Utiliza el modelo de las cinco causas de pérdida de biodiversidad para analizar el caso de una especie amenazada del país.</t>
  </si>
  <si>
    <t>E4 · Utiliza un modelo de difusión de partículas para mostrar la tendencia espontánea al desorden y la contrasta con el transporte activo que mantiene gradientes en la célula.</t>
  </si>
  <si>
    <t>I3 · Argumenta con datos de tasas de extinción si la situación actual puede considerarse una sexta extinción masiva.</t>
  </si>
  <si>
    <t>E3 · Justifica por qué la necesidad continua de alimento es consecuencia de mantener la organización celular frente a la tendencia al aumento de la entropía.</t>
  </si>
  <si>
    <t>E6 · Explica cómo la pérdida de biodiversidad afecta la alimentación, la salud y la economía de las personas.</t>
  </si>
  <si>
    <t>5. Se observa con una escala sencilla de tres niveles; no requiere instrumentos adicionales.</t>
  </si>
  <si>
    <t>Comunicación (Explicar)
Explica a la clase con un ejemplo cotidiano cómo un ser vivo mantiene su organización sin contradecir el aumento de entropía.</t>
  </si>
  <si>
    <t>Comunicación (Reforzar)
Presenta ante la clase el caso de una especie salvadoreña amenazada con causas, datos e impactos de su pérdida.</t>
  </si>
  <si>
    <t>Conocer: identificar causas de pérdida de biodiversidad. Razonar: argumentar con tasas de extinción</t>
  </si>
  <si>
    <t>Conocer: definir entropía y organización. Razonar: explicar sistemas abiertos con ejemplos</t>
  </si>
  <si>
    <t>Presentación sobre una especie amenazada de El Salvador con causas, datos de población e impactos globales</t>
  </si>
  <si>
    <t>Explicación escrita con esquema de un ser vivo como sistema abierto y registro de la simulación de difusión</t>
  </si>
  <si>
    <t>1.9. Explica las causas y los impactos globales de la pérdida de biodiversidad.</t>
  </si>
  <si>
    <t>Habilidades del siglo XXI (4C)</t>
  </si>
  <si>
    <t>2.2. Explica los conceptos de entropía y organización en los seres vivos.</t>
  </si>
  <si>
    <r>
      <rPr>
        <rFont val="Arial"/>
        <color theme="1"/>
        <sz val="9.0"/>
      </rPr>
      <t>3.3 Derechos de autor y licencias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</si>
  <si>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</si>
  <si>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t>Habilidad</t>
  </si>
  <si>
    <t>Qué significa en Bachillerato</t>
  </si>
  <si>
    <r>
      <rPr>
        <rFont val="Arial"/>
        <color theme="1"/>
        <sz val="9.0"/>
      </rPr>
      <t>Selecciona para su presentación fotografías de especies con licencia abierta y registra el autor y el tipo de licencia de cada una.</t>
    </r>
    <r>
      <rPr>
        <rFont val="Arial"/>
        <color rgb="FF7030A0"/>
        <sz val="9.0"/>
      </rPr>
      <t xml:space="preserve">
IA (Indagar · el estudiante, solo o en pareja).
Herramienta y medio: app Seek (gratis, sin crear cuenta) en el celular o la tableta.
Actividad: Escribe qué especies crees que encontrarás en un parche verde cerca de tu casa. Recorre 20 minutos y registra con Seek las plantas, insectos y aves (sin fotografiar personas). Después consulta en iNaturalist si alguna aparece como amenazada o introducida. Con esos datos, argumenta si en tu zona se ven señales de pérdida de biodiversidad y qué parte de tu conclusión depende de identificaciones de la IA.
Evidencia: Ficha «Yo pienso · La IA dice · Lo comprobé»: lista predicha, tabla «Especie según la IA · Nivel de certeza · Nativa o introducida · Estado» y párrafo argumentativo. Línea en el registro de uso de IA.
Refuerza con: iNaturalist: observaciones de El Salvador (consulta sin cuenta) (https://www.inaturalist.org)
→ PISA I3 · TIMSS Razonar</t>
    </r>
  </si>
  <si>
    <r>
      <rPr>
        <rFont val="Arial"/>
        <color theme="1"/>
        <sz val="9.0"/>
      </rPr>
      <t>Usar la simulación de difusión de PhET variando la temperatura y el número de partículas, y registrar cuánto tarda en uniformarse la mezcla.</t>
    </r>
    <r>
      <rPr>
        <rFont val="Arial"/>
        <color rgb="FF7030A0"/>
        <sz val="9.0"/>
      </rPr>
      <t xml:space="preserve">
IA (Explicar · el estudiante, solo o en pareja).
Herramienta y medio: Gemini (gemini.google.com) con tu cuenta institucional, en el celular, la tableta o la computadora del CRA. Sin internet: usa la respuesta de IA impresa en tu ficha.
Actividad: Pon una gota de colorante en agua quieta y dibuja cada minuto cómo se dispersa. Escribe por qué ese desorden ocurre solo y por qué una célula viva no se «desordena» igual. Pregúntale a Gemini: «¿Los seres vivos violan la segunda ley de la termodinámica?». Revisa si su respuesta menciona que la célula es un sistema abierto que consume energía. Compara con la simulación de difusión.
Evidencia: Ficha «Yo pienso · La IA dice · Lo comprobé»: en «Yo pienso» tus dibujos de la gota y tu explicación; en «La IA dice» la respuesta rotulada «Respuesta de IA»; en «Lo comprobé» lo que viste en el simulador y si la IA usó bien «sistema abierto». Marca ✔/✘ cada dato de la IA y anota una línea en tu registro de uso de IA.
Refuerza con: PhET «Difusión» (https://phet.colorado.edu/sims/html/diffusion/latest/diffusion_es.html)
→ PISA E1 · TIMSS Aplicar</t>
    </r>
  </si>
  <si>
    <t>Cómo lo observo</t>
  </si>
  <si>
    <t>Uso ético de la información
Respeta los derechos de autor de fotógrafos y científicos al usar sus imágenes y datos.
↳ Se trabaja en la actividad digital (DigComp 3.3).</t>
  </si>
  <si>
    <t>Distribución por fase</t>
  </si>
  <si>
    <t>Respeto al medio ambiente, entorno y territorio
Relaciona la tala de un manglar con la pérdida de organización de un ecosistema que deja de captar y transferir energía.</t>
  </si>
  <si>
    <t>N.° de temas</t>
  </si>
  <si>
    <t>Oficial
Malla 11.° grado, U8 · 8.9</t>
  </si>
  <si>
    <t>Oficial
Malla 10.° grado, U7 · 7.2</t>
  </si>
  <si>
    <t>Creatividad</t>
  </si>
  <si>
    <t>Información molecular</t>
  </si>
  <si>
    <t>Restauración de ecosistemas</t>
  </si>
  <si>
    <t>Código genético 
Nomenclatura de aminoácidos</t>
  </si>
  <si>
    <t>Tipos de restauración</t>
  </si>
  <si>
    <t>1.10. Indagación de los mecanismos de restauración de ecosistemas.</t>
  </si>
  <si>
    <t>2.3. Explicación del código genético y la nomenclatura de aminoácidos.</t>
  </si>
  <si>
    <t>Proponer diseños experimentales, modelos, soluciones o productos propios y mejorarlos a partir de pruebas y datos.</t>
  </si>
  <si>
    <t>E1 · Recuerda lo estudiado en grados anteriores sobre genes y herencia y reconoce que la información del ADN se expresa en proteínas.</t>
  </si>
  <si>
    <t>E1 · Recuerda lo visto sobre sucesión ecológica y lo aplica a un terreno abandonado después de un incendio.</t>
  </si>
  <si>
    <t>D1 · Pregunta guía: «¿Cómo se escriben veinte aminoácidos con un alfabeto de solo cuatro bases?».</t>
  </si>
  <si>
    <t>D1 · Pregunta guía: «¿Conviene dejar que un bosque se recupere solo o es mejor plantar árboles?».</t>
  </si>
  <si>
    <t>E2 · Usa la tabla del código genético para traducir codones de ARNm a aminoácidos con sus abreviaturas de tres letras y de una letra, e identifica codones de inicio y de término.</t>
  </si>
  <si>
    <t>E1 · Aplica los conceptos de restauración pasiva, restauración activa y rehabilitación a casos reales de manglares y bosques salvadoreños.</t>
  </si>
  <si>
    <t>Propone al menos una idea, diseño o solución original, la fundamenta y la mejora con evidencia.</t>
  </si>
  <si>
    <t>E4 · Construye con tarjetas un modelo de la transcripción de un fragmento de ADN a ARNm y de su traducción a péptido, verificando cada paso con la tabla.</t>
  </si>
  <si>
    <t>Aproximar: 5 · Explorar: 8 · Explicar: 9 · Indagar: 6 · Reforzar: 10</t>
  </si>
  <si>
    <t>I1 · Busca información de proyectos de restauración de manglar en la bahía de Jiquilisco y del bosque en la cordillera del Bálsamo.</t>
  </si>
  <si>
    <t>E3 · Predice el efecto de sustituir una base en un codón y justifica si cambia o no el aminoácido usando la redundancia del código genético.</t>
  </si>
  <si>
    <t>I5 · Justifica qué tipo de restauración recomendaría para un ecosistema degradado cercano a su comunidad.</t>
  </si>
  <si>
    <t>Colaboración (Indagar)
Reparte con su equipo los roles de transcriptor, traductor y verificador para decodificar un fragmento de secuencia.</t>
  </si>
  <si>
    <t>Colaboración (Explicar)
Construye con su equipo un cuadro comparativo de los tipos de restauración a partir de casos que investigó cada integrante.</t>
  </si>
  <si>
    <t>Conocer: nombrar aminoácidos y reconocer codones. Aplicar: traducir con la tabla del código genético</t>
  </si>
  <si>
    <t>Conocer: identificar tipos de restauración. Aplicar: asociar cada mecanismo con casos nacionales</t>
  </si>
  <si>
    <t>Hoja de decodificación de una secuencia de ARNm con la traducción en abreviaturas de tres y una letra</t>
  </si>
  <si>
    <t>Cuadro comparativo de tipos de restauración con un caso salvadoreño para cada uno y su justificación</t>
  </si>
  <si>
    <t>Comunicación</t>
  </si>
  <si>
    <t>Explicar con precisión, oralmente y por escrito, con gráficas, modelos o productos digitales, a pares, a otros grados o a la comunidad.</t>
  </si>
  <si>
    <t>2.3. Reconoce el código genético y la nomenclatura de aminoácidos como formas de representar información molecular.</t>
  </si>
  <si>
    <t>1.10. Identifica los mecanismos de restauración de ecosistemas.</t>
  </si>
  <si>
    <t>Comunica con orden, vocabulario científico y unidades correctas; responde preguntas con argumentos.</t>
  </si>
  <si>
    <t>Aproximar: 5 · Explorar: 1 · Explicar: 11 · Indagar: 9 · Reforzar: 14</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</si>
  <si>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</si>
  <si>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2.5 Comportamiento digital – Básico</t>
    </r>
    <r>
      <rPr>
        <rFont val="Arial"/>
        <color rgb="FF7030A0"/>
        <sz val="9.0"/>
      </rPr>
      <t xml:space="preserve">
Con la IA (DigComp 3.0, nivel real): CS1.2.13 – Intermedio: valora qué tan confiable es una fuente, teniendo en cuenta el papel de la IA.</t>
    </r>
  </si>
  <si>
    <t>Colaboración</t>
  </si>
  <si>
    <t>Trabajar en equipo con roles, acordar procedimientos, repartir mediciones y construir un producto común.</t>
  </si>
  <si>
    <t>Cumple su rol, respeta los acuerdos, integra aportes de otros y contribuye al producto del equipo.</t>
  </si>
  <si>
    <t>Aproximar: 4 · Explorar: 10 · Explicar: 3 · Indagar: 18 · Reforzar: 6</t>
  </si>
  <si>
    <t>Pensamiento crítico</t>
  </si>
  <si>
    <t>Comprobar antes de creer: evaluar diseños, datos, incertidumbres y fuentes para aceptar o rechazar una afirmación.</t>
  </si>
  <si>
    <r>
      <rPr>
        <rFont val="Arial"/>
        <color theme="1"/>
        <sz val="9.0"/>
      </rPr>
      <t>Programar en Scratch o en Python sencillo un traductor que convierta una secuencia de codones en la secuencia de aminoácidos usando un diccionario.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Escribe a mano la transcripción y la traducción de este fragmento de hebra molde: TACGGATTTCCG, usando la tabla del código genético. Luego pídele a Gemini lo mismo y que nombre cada aminoácido con su código de tres letras. Revisa codón por codón: ¿confundió la hebra molde con la codificante? Cambia una base y predice tú si cambia el aminoácido; compruébalo en la tabla.
Evidencia: Ficha «Yo pienso · La IA dice · Lo comprobé»: en «Yo pienso» tu ARNm y tu péptido; en «La IA dice» su resultado rotulado «Respuesta de IA»; en «Lo comprobé» tabla «Codón · Tabla · IA» con ✔/✘ y tu mutación con su efecto. Marca ✔/✘ cada dato de la IA y anota una línea en tu registro de uso de IA.
→ PISA E4 · TIMSS Razonar</t>
    </r>
  </si>
  <si>
    <t>Convivir
Trabaja en pareja al programar, alternando los roles de quien escribe y quien revisa el código.
↳ Se trabaja en la actividad digital (DigComp 3.4).</t>
  </si>
  <si>
    <r>
      <rPr>
        <rFont val="Arial"/>
        <color theme="1"/>
        <sz val="9.0"/>
      </rPr>
      <t>Participa en un foro del aula virtual sobre restauración respetando las normas de netiqueta y respondiendo a los aportes de otros.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tu definición de restauración pasiva, activa y asistida con un ejemplo salvadoreño (manglar de Jiquilisco, bosque de El Imposible). Crea un cuaderno de NotebookLM con fuentes del MARN y pregunta: «¿Qué tipos de restauración se aplican en El Salvador y en qué casos conviene cada uno? Cita la fuente». Compara con tus definiciones y revisa si la IA mezcló tipos o dio ejemplos sin cita.
Evidencia: Ficha «Yo pienso · La IA dice · Lo comprobé»: tus definiciones, la Respuesta de IA rotulada y un cuadro comparativo de tipos de restauración con la fuente de cada fila. Línea en el registro de uso de IA.
Refuerza con: MARN (https://www.marn.gob.sv)
→ PISA I1 · TIMSS Razonar</t>
    </r>
  </si>
  <si>
    <t>Justifica sus conclusiones con datos, reconoce límites e incertidumbres y detecta fallas en argumentos.</t>
  </si>
  <si>
    <t>Aproximar: 4 · Explorar: 6 · Explicar: 8 · Indagar: 15 · Reforzar: 10</t>
  </si>
  <si>
    <t>Oficial
Malla 10.° grado, U7 · 7.3</t>
  </si>
  <si>
    <t>Convivir
Responde con cortesía a los aportes de sus compañeros en el foro, aunque no coincidan con su opinión.
↳ Se trabaja en la actividad digital (DigComp 2.5).</t>
  </si>
  <si>
    <t>Oficial
Malla 11.° grado, U8 · 8.10</t>
  </si>
  <si>
    <t>Habilidades transversales</t>
  </si>
  <si>
    <t>Energía biológicamente útil</t>
  </si>
  <si>
    <t>Concepto</t>
  </si>
  <si>
    <t>2.4. Indagación del concepto de energía biológicamente útil.</t>
  </si>
  <si>
    <t>Monitoreo de biodiversidad</t>
  </si>
  <si>
    <t>1.11. Exploración del estado de regeneración de los ecosistemas.</t>
  </si>
  <si>
    <t>E1 · Recuerda que el calor liberado por el cuerpo no puede usarse para mover los músculos y lo contrasta con la energía química de los alimentos.</t>
  </si>
  <si>
    <t>D1 · Pregunta guía: «¿Por qué la célula no puede usar directamente el calor para realizar trabajo?».</t>
  </si>
  <si>
    <t>Competencias DigComp 3.0 relacionadas</t>
  </si>
  <si>
    <t>E1 · Explica que la energía biológicamente útil es la que la célula puede acoplar para realizar trabajo químico, mecánico o de transporte, principalmente mediante la hidrólisis del ATP.</t>
  </si>
  <si>
    <t>E1 · Recuerda lo visto sobre muestreo de poblaciones y lo aplica al conteo de especies en un parque o zona verde.</t>
  </si>
  <si>
    <t>I3 · Argumenta con el valor de energía liberada en la hidrólisis del ATP, unos 30.5 kJ/mol, por qué esta molécula funciona como moneda energética intermedia.</t>
  </si>
  <si>
    <t>D1 · Pregunta guía: «¿Cómo podemos saber si un área en restauración está recuperando su biodiversidad?».</t>
  </si>
  <si>
    <t>E6 · Relaciona la baja eficiencia con que el ganado convierte el forraje en masa corporal con el uso de energía útil y sus implicaciones para la seguridad alimentaria.</t>
  </si>
  <si>
    <t>E2 · Calcula la riqueza de especies y el índice de diversidad de Shannon a partir de conteos en parcelas o transectos.</t>
  </si>
  <si>
    <t>Creatividad (Reforzar)
Crea una analogía original, como una batería recargable, para explicar la función del ATP y la somete a evaluación de sus compañeros.</t>
  </si>
  <si>
    <t>D2 · Propone un protocolo de monitoreo con transectos o fotografías georreferenciadas para comparar dos zonas del centro escolar.</t>
  </si>
  <si>
    <t>Uso ético de la información</t>
  </si>
  <si>
    <t>Conocer: definir energía biológicamente útil. Razonar: argumentar con datos energéticos</t>
  </si>
  <si>
    <t>D3 · Evalúa las limitaciones de su protocolo de monitoreo y propone mejoras al tamaño y número de las parcelas.</t>
  </si>
  <si>
    <t>Mapa conceptual de energía biológicamente útil con la analogía creada y su justificación</t>
  </si>
  <si>
    <t>Pensamiento crítico (Indagar)
Analiza si las diferencias de diversidad entre las dos zonas pueden deberse al método de muestreo y no a la regeneración.</t>
  </si>
  <si>
    <t>Aplicar: calcular índices de diversidad. Razonar: evaluar un método de monitoreo</t>
  </si>
  <si>
    <t>2.4. Explica el concepto de energía biológicamente útil.</t>
  </si>
  <si>
    <t>Buscar, usar y compartir información con honestidad: registrar datos reales, citar autores y licencias, verificar fuentes y proteger datos personales.</t>
  </si>
  <si>
    <t>Protocolo de monitoreo con datos de campo, cálculo del índice de Shannon y evaluación de sus limitaciones</t>
  </si>
  <si>
    <t>1.1, 1.2, 2.1, 2.2, 3.1, 3.2, 3.3 y 4.2</t>
  </si>
  <si>
    <t>Registra datos reales sin alterarlos, cita fuentes y licencias, verifica antes de compartir y protege datos personales.</t>
  </si>
  <si>
    <t>1.11. Explica un método o técnica para el monitoreo de biodiversidad.</t>
  </si>
  <si>
    <r>
      <rPr>
        <rFont val="Arial"/>
        <color theme="1"/>
        <sz val="9.0"/>
      </rPr>
      <t>5.4 Identificación y atención de necesidades de competencia digital – Básico</t>
    </r>
    <r>
      <rPr>
        <rFont val="Arial"/>
        <color rgb="FF7030A0"/>
        <sz val="9.0"/>
      </rPr>
      <t xml:space="preserve">
Con la IA (DigComp 3.0, nivel real): CS1.2.13 – Intermedio: valora qué tan confiable es una fuente, teniendo en cuenta el papel de la IA.</t>
    </r>
  </si>
  <si>
    <t>Respeto al medio ambiente, entorno y territorio</t>
  </si>
  <si>
    <t>Cuidar los recursos, la biodiversidad y el territorio salvadoreño; reducir residuos y consumo energético; disponer correctamente residuos químicos y electrónicos.</t>
  </si>
  <si>
    <r>
      <rPr>
        <rFont val="Arial"/>
        <color theme="1"/>
        <sz val="9.0"/>
      </rPr>
      <t>4.2 Protección de datos personales y privacidad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</si>
  <si>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10.0"/>
      </rPr>
      <t>4.4 Protección del medio ambiente</t>
    </r>
    <r>
      <rPr>
        <rFont val="Arial"/>
        <color rgb="FF7030A0"/>
        <sz val="10.0"/>
      </rPr>
      <t xml:space="preserve">
DigComp 3.0: 4.4 Impacto ambiental de las tecnologías digitales</t>
    </r>
  </si>
  <si>
    <t>Reduce y dispone correctamente los residuos, ahorra recursos y propone acciones para su comunidad y territorio.</t>
  </si>
  <si>
    <r>
      <rPr>
        <rFont val="Arial"/>
        <color theme="1"/>
        <sz val="9.0"/>
      </rPr>
      <t>Identificar qué herramientas digitales de diagramación domina y cuál necesita aprender para su mapa conceptual, y practicarla con un tutorial.</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el valor de energía liberada en la hidrólisis del ATP que da tu libro, escribe por qué el ATP funciona como moneda energética. Pregúntale al cuaderno NotebookLM: «¿Por qué el ganado convierte en carne solo una parte de la energía del forraje?». Compara su respuesta con tu razonamiento y señala qué parte se pierde como calor y qué parte queda como energía biológicamente útil.
Evidencia: Ficha «Yo pienso · La IA dice · Lo comprobé»: en «Yo pienso» tu argumento sobre el ATP; en «La IA dice» la explicación rotulada «Respuesta de IA» con su fuente; en «Lo comprobé» un esquema de flujo de energía del forraje a la carne hecho por ti. Marca ✔/✘ cada dato de la IA y anota una línea en tu registro de uso de IA.
→ PISA E6 · TIMSS Aplicar</t>
    </r>
  </si>
  <si>
    <t>Convivir</t>
  </si>
  <si>
    <t>Convivir
Escucha y valora las analogías de otros compañeros y ofrece sugerencias respetuosas para mejorarlas.</t>
  </si>
  <si>
    <t>Relacionarse con respeto y seguridad: escuchar, acordar, cuidar la integridad propia y ajena en el laboratorio y en entornos digitales, e incluir a todos.</t>
  </si>
  <si>
    <t>Oficial
Malla 10.° grado, U7 · 7.4</t>
  </si>
  <si>
    <t>2.1, 2.3, 2.4, 2.5, 3.4, 4.1 y 4.3</t>
  </si>
  <si>
    <r>
      <rPr>
        <rFont val="Arial"/>
        <color theme="1"/>
        <sz val="9.0"/>
      </rPr>
      <t>Configura la privacidad de su cuenta en iNaturalist y oculta la ubicación exacta de especies sensibles antes de publicar sus observaciones.</t>
    </r>
    <r>
      <rPr>
        <rFont val="Arial"/>
        <color rgb="FF7030A0"/>
        <sz val="9.0"/>
      </rPr>
      <t xml:space="preserve">
IA (Indagar · el estudiante, solo o en pareja).
Herramienta y medio: app BirdNET (birdnet.cornell.edu) en el celular; funciona sin internet.
Actividad: Elige dos sitios: uno con vegetación en regeneración y otro más conservado o más intervenido. Predice en cuál habrá más especies de aves. Graba 10 minutos de cantos al amanecer en cada sitio con BirdNET. Revisa cada detección: ¿la especie vive en El Salvador según iNaturalist?, ¿la confianza es baja? Compara la riqueza de ambos sitios descartando detecciones dudosas.
Evidencia: Ficha «Yo pienso · La IA dice · Lo comprobé»: predicción, tabla «Especie · Sitio · Confianza de la IA · ¿Válida?» y conclusión sobre el estado de regeneración. Línea en el registro de uso de IA.
Refuerza con: iNaturalist: observaciones de El Salvador (consulta sin cuenta) (https://www.inaturalist.org)
→ PISA D2 · TIMSS Razonar</t>
    </r>
  </si>
  <si>
    <t>Escucha y respeta acuerdos, cuida la seguridad propia y ajena y se comporta con respeto en entornos digitales.</t>
  </si>
  <si>
    <t>Uso ético de la información
Protege sus datos personales y la ubicación de especies vulnerables al compartir registros de biodiversidad.
↳ Se trabaja en la actividad digital (DigComp 4.2).</t>
  </si>
  <si>
    <t>Procesos celulares que emplean energía biológicamente útil</t>
  </si>
  <si>
    <t>Escala de observación (para las dos columnas)</t>
  </si>
  <si>
    <t>2.5. Exploración de procesos celulares que emplean energía biológicamente útil.</t>
  </si>
  <si>
    <t>Oficial
Malla 11.° grado, U8 · 8.11</t>
  </si>
  <si>
    <t>Nivel</t>
  </si>
  <si>
    <t>U2 - Eje integrador: tecnología</t>
  </si>
  <si>
    <t>Descripción</t>
  </si>
  <si>
    <t>Con ayuda</t>
  </si>
  <si>
    <t>Muestra la habilidad cuando la docente lo guía paso a paso.</t>
  </si>
  <si>
    <t>E6 · Reconoce que el latido del corazón, la síntesis de proteínas y la transmisión nerviosa dependen de energía útil y que su falla afecta la salud.</t>
  </si>
  <si>
    <t>D1 · Pregunta guía: «¿Qué procesos de una célula se detendrían primero si faltara ATP?».</t>
  </si>
  <si>
    <t>E1 · Explica ejemplos de trabajo celular que emplean energía útil: bomba de sodio y potasio, contracción de actina y miosina, síntesis de biomoléculas y movimiento de cilios.</t>
  </si>
  <si>
    <t>D4 · Observa al microscopio la ciclosis en hojas de elodea iluminadas y en penumbra, estima la velocidad del movimiento y concluye sobre su dependencia energética.</t>
  </si>
  <si>
    <t>I2 · Distingue evidencia de opinión en anuncios que prometen «más energía celular», contrastándolos con los procesos celulares estudiados.</t>
  </si>
  <si>
    <t>Comunicación (Indagar)
Presenta al grupo sus observaciones de ciclosis con un registro claro de condiciones, tiempos y conclusiones.</t>
  </si>
  <si>
    <t>Conocer: describir procesos celulares que consumen ATP. Aplicar: observar y estimar velocidades</t>
  </si>
  <si>
    <t>Registro de observación microscópica con dibujos, tiempos de ciclosis y conclusión</t>
  </si>
  <si>
    <t>2. Biotecnología microbiana</t>
  </si>
  <si>
    <t>2.6. Ejemplifica procesos celulares que emplean energía biológicamente útil.</t>
  </si>
  <si>
    <t>En proceso</t>
  </si>
  <si>
    <t>Introducción a la biotecnología microbiana</t>
  </si>
  <si>
    <t>Muestra la habilidad con recordatorios ocasionales.</t>
  </si>
  <si>
    <r>
      <rPr>
        <rFont val="Arial"/>
        <color theme="1"/>
        <sz val="9.0"/>
      </rPr>
      <t>2.1 Interacción a través de y con tecnologías digitales – Básico</t>
    </r>
    <r>
      <rPr>
        <rFont val="Arial"/>
        <color rgb="FF7030A0"/>
        <sz val="9.0"/>
      </rPr>
      <t xml:space="preserve">
Con la IA (DigComp 3.0, nivel real): CS1.2.14 – Avanzado: examina de forma continua cómo la IA, los sesgos y distintos intereses influyen en la información.</t>
    </r>
  </si>
  <si>
    <t>Concepto y aplicaciones</t>
  </si>
  <si>
    <t>2.1. Indagación del concepto y aplicaciones de la biotecnología microbiana a través de la observación de productos comerciales.</t>
  </si>
  <si>
    <t>Cuestiona sobre las técnicas empleadas para el mejoramiento genético de microorganismos de uso industrial. Advierte la necesidad del escalado de bioprocesos para la obtención de un producto comercial a partir de microorganismos.</t>
  </si>
  <si>
    <r>
      <rPr>
        <rFont val="Arial"/>
        <color theme="1"/>
        <sz val="9.0"/>
      </rPr>
      <t>Interactuar en el foro del aula virtual respondiendo a las preguntas de sus compañeros sobre las observaciones de ciclosis.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Después de observar la ciclosis en elodea, copia un anuncio que prometa «más energía celular». Escribe qué proceso celular real usa energía en lo que viste. Pregúntale al cuaderno NotebookLM: «Según las fuentes, ¿qué procesos celulares usan ATP y de dónde lo obtiene la célula?». Contrasta el anuncio con la respuesta y señala qué afirmaciones no tienen evidencia. No pidas recomendaciones de suplementos.
Evidencia: Ficha «Yo pienso · La IA dice · Lo comprobé»: en «Yo pienso» tu dibujo de la ciclosis y tu explicación; en «La IA dice» la lista rotulada «Respuesta de IA»; en «Lo comprobé» el anuncio con sus afirmaciones marcadas como evidencia u opinión. Marca ✔/✘ cada dato de la IA y anota una línea en tu registro de uso de IA.
→ PISA I2 · TIMSS Aplicar</t>
    </r>
  </si>
  <si>
    <t>Lo logra</t>
  </si>
  <si>
    <t>Muestra la habilidad por iniciativa propia y ayuda a otros a mostrarla.</t>
  </si>
  <si>
    <t>Convivir
Responde en el foro con cortesía y aporta evidencia al corregir las ideas de otros.
↳ Se trabaja en la actividad digital (DigComp 2.1).</t>
  </si>
  <si>
    <t>Oficial
Malla 10.° grado, U7 · 7.6</t>
  </si>
  <si>
    <t>Práctica de medidas de bioseguridad y profilaxis al manipular muestras biológicas y alimentos. Interés por conocer la composición y riesgos asociados al consumo irresponsable de suplementos y medicamentos.</t>
  </si>
  <si>
    <t>Enzimas y metabolismo</t>
  </si>
  <si>
    <t>Área de competencia</t>
  </si>
  <si>
    <t>2.6. Indagación de la presencia de enzimas en los seres vivos.</t>
  </si>
  <si>
    <t>Nombre en español usado en la matriz</t>
  </si>
  <si>
    <t>Nombre oficial (JRC, en inglés)</t>
  </si>
  <si>
    <t>Temas donde se trabaja</t>
  </si>
  <si>
    <t>E1 · Relaciona procesos cotidianos como el ablandamiento de la carne con papaya o la maduración del mango con la acción de enzimas.</t>
  </si>
  <si>
    <t>D1 · Pregunta guía: «¿Cómo podemos saber si un tejido vivo contiene enzimas si no podemos verlas?».</t>
  </si>
  <si>
    <t>E1 · Explica que las enzimas son catalizadores biológicos, en su mayoría proteicos, que disminuyen la energía de activación y actúan con especificidad sobre un sustrato.</t>
  </si>
  <si>
    <t>I3 · Argumenta con los resultados de la efervescencia del peróxido de hidrógeno al 3 % sobre papa cruda y papa hervida, usando gafas, la presencia de catalasa en tejidos vivos.</t>
  </si>
  <si>
    <t>1.1</t>
  </si>
  <si>
    <t>I4 · Critica el argumento de que las enzimas se destruyen siempre con el calor usando el ejemplo de enzimas termoestables de bacterias de los ausoles de Ahuachapán.</t>
  </si>
  <si>
    <t>Colaboración (Explorar)
Acuerda con su equipo qué tejidos vegetales comparar y cómo registrar la intensidad de la efervescencia.</t>
  </si>
  <si>
    <t>Aplicar: comparar tratamientos. Razonar: argumentar con evidencia experimental</t>
  </si>
  <si>
    <t>Argumento escrito con datos de efervescencia en tejidos crudos y cocidos y conclusión sobre la catalasa</t>
  </si>
  <si>
    <t>2.7. Argumenta la presencia de enzimas en los seres vivos.</t>
  </si>
  <si>
    <t>1. Búsqueda, evaluación y gestión de la información</t>
  </si>
  <si>
    <t>Navegación, búsqueda y filtrado de información</t>
  </si>
  <si>
    <r>
      <rPr>
        <rFont val="Arial"/>
        <color theme="1"/>
        <sz val="9.0"/>
      </rPr>
      <t>1.1 Navegación, búsqueda y filtrado de información – Básico</t>
    </r>
    <r>
      <rPr>
        <rFont val="Arial"/>
        <color rgb="FF7030A0"/>
        <sz val="9.0"/>
      </rPr>
      <t xml:space="preserve">
Con la IA (DigComp 3.0, nivel real): CS1.2.13 – Intermedio: valora qué tan confiable es una fuente, teniendo en cuenta el papel de la IA.</t>
    </r>
  </si>
  <si>
    <t>Browsing, searching and filtering information</t>
  </si>
  <si>
    <t>10.° U1: 1.1 · 10.° U2: 2.7 · 10.° U3: 3.7 · 10.° U5: 5.5 · 10.° U7: 7.4 · 11.° U1: 1.2 · 11.° U2: 2.1, 2.12 · 11.° U3: 3.1, 3.4, 3.12 · 11.° U4: 4.1 · 11.° U5: 5.4 · 11.° U7: 7.1 · 11.° U8: 8.6</t>
  </si>
  <si>
    <t>1.2</t>
  </si>
  <si>
    <r>
      <rPr>
        <rFont val="Arial"/>
        <color theme="1"/>
        <sz val="9.0"/>
      </rPr>
      <t>Buscar y filtrar artículos de divulgación científica sobre enzimas de microorganismos termófilos usando palabras clave y filtros de fecha.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tus resultados de efervescencia en papa cruda y papa hervida, escribe por qué cambió la actividad enzimática. Luego pregúntale al cuaderno NotebookLM: «¿Todas las enzimas se destruyen con el calor? Da ejemplos de enzimas de bacterias de aguas termales». Compara con tus datos y escribe un argumento que explique ambas cosas: tu papa hervida y las enzimas termoestables.
Evidencia: Ficha «Yo pienso · La IA dice · Lo comprobé»: en «Yo pienso» tu tabla de resultados y tu explicación; en «La IA dice» los ejemplos rotulados «Respuesta de IA» con su fuente; en «Lo comprobé» tu argumento final que une tus datos con la fuente. Marca ✔/✘ cada dato de la IA y anota una línea en tu registro de uso de IA.
→ PISA I4 · TIMSS Aplicar</t>
    </r>
  </si>
  <si>
    <t>Evaluación de la información</t>
  </si>
  <si>
    <t>Uso ético de la información
Cita la fuente de cada ejemplo de enzima que presenta y distingue el texto propio del tomado de otros autores.
↳ Se trabaja en la actividad digital (DigComp 1.1).</t>
  </si>
  <si>
    <t>Evaluating information</t>
  </si>
  <si>
    <t>10.° U1: 1.4 · 10.° U2: 2.9 · 10.° U3: 3.10 · 10.° U4: 4.2 · 10.° U5: 5.1 · 10.° U8: 8.5 · 11.° U1: 1.8 · 11.° U2: 2.10 · 11.° U3: 3.6, 3.18 · 11.° U4: 4.7 · 11.° U5: 5.9 · 11.° U6: 6.3</t>
  </si>
  <si>
    <t>Oficial
Malla 10.° grado, U7 · 7.7</t>
  </si>
  <si>
    <t>1.3</t>
  </si>
  <si>
    <t>Gestión de la información</t>
  </si>
  <si>
    <t>Managing information</t>
  </si>
  <si>
    <t>Actividad enzimática</t>
  </si>
  <si>
    <t>10.° U1: 1.10 · 10.° U2: 2.8 · 10.° U3: 3.5 · 10.° U4: 4.5 · 10.° U5: 5.6 · 10.° U8: 8.3 · 11.° U1: 1.1 · 11.° U2: 2.6 · 11.° U3: 3.5 · 11.° U5: 5.1 · 11.° U6: 6.2 · 11.° U7: 7.4</t>
  </si>
  <si>
    <t>2.7. Demostración experimental de la actividad enzimática.</t>
  </si>
  <si>
    <t>2.1</t>
  </si>
  <si>
    <t>2. Comunicación y colaboración</t>
  </si>
  <si>
    <t>Interacción a través de y con tecnologías digitales</t>
  </si>
  <si>
    <t>INDAGACIÓN: Contrastar sus propias observaciones y resultados de la experimentación con microorganismos con principios de la microbiología, genética y bioquímica; para generalizar las aplicaciones y métodos de producción empleados en la biotecnología microbiana.</t>
  </si>
  <si>
    <t>Interacting through and with digital technologies</t>
  </si>
  <si>
    <t>E1 · Recuerda lo visto en 9.° sobre velocidad de reacción y pH y lo aplica a reacciones catalizadas en los seres vivos.</t>
  </si>
  <si>
    <t>10.° U2: 2.6 · 10.° U7: 7.2 · 11.° U2: 2.7 · 11.° U7: 7.5</t>
  </si>
  <si>
    <t>D1 · Pregunta guía: «¿Cómo cambia la actividad de la catalasa de la papa al variar la temperatura?».</t>
  </si>
  <si>
    <t>2.2</t>
  </si>
  <si>
    <t>E2 · Interpreta curvas de actividad enzimática en función de la temperatura y del pH, e identifica el valor óptimo y la zona de desnaturalización.</t>
  </si>
  <si>
    <t>D4 · Mide la altura de la espuma producida por discos de papa en peróxido de hidrógeno al 3 % en baños a distintas temperaturas preparados por la docente y grafica los resultados.</t>
  </si>
  <si>
    <t>Compartir a través de tecnologías digitales</t>
  </si>
  <si>
    <t>Sharing through digital technologies</t>
  </si>
  <si>
    <t>D3 · Evalúa el diseño experimental identificando variables controladas, número de repeticiones y fuentes de error en la medición de la espuma.</t>
  </si>
  <si>
    <t>10.° U1: 1.9 · 10.° U3: 3.12 · 10.° U5: 5.8 · 10.° U7: 7.5 · 11.° U2: 2.8 · 11.° U3: 3.17 · 11.° U4: 4.9 · 11.° U5: 5.7</t>
  </si>
  <si>
    <t>Pensamiento crítico (Reforzar)
Juzga si los datos del grupo permiten afirmar un óptimo de temperatura o si se requieren más repeticiones.</t>
  </si>
  <si>
    <t>Aplicar: medir y graficar. Razonar: interpretar tendencias y evaluar el diseño</t>
  </si>
  <si>
    <t>2.3</t>
  </si>
  <si>
    <t>2.1. Ejemplifica procesos y productos comerciales desarrollados con aplicación de biotecnología microbiana.</t>
  </si>
  <si>
    <t>Informe de laboratorio con gráfica de actividad enzimática en función de la temperatura y análisis de errores</t>
  </si>
  <si>
    <t>Participación ciudadana a través de tecnologías digitales</t>
  </si>
  <si>
    <t>Engaging in citizenship through digital technologies</t>
  </si>
  <si>
    <t>2.8. Interpreta los resultados de un experimento demostrativo de la actividad enzimática.</t>
  </si>
  <si>
    <t>La biotecnología microbiana es la ciencia que se encarga de utilizar microorganismos para desarrollar productos y procesos útiles para los seres humanos. Sus aplicaciones principales se encuentran en la industria alimenticia, médica, farmacéutica y agrícola, por lo que muchos productos cotidianos se obtienen gracias a este conocimiento.</t>
  </si>
  <si>
    <t>10.° U3: 3.4 · 10.° U4: 4.7 · 10.° U6: 6.5 · 10.° U8: 8.6 · 11.° U1: 1.4 · 11.° U2: 2.15 · 11.° U3: 3.16 · 11.° U5: 5.10 · 11.° U7: 7.7</t>
  </si>
  <si>
    <t>2.4</t>
  </si>
  <si>
    <r>
      <rPr>
        <rFont val="Arial"/>
        <color theme="1"/>
        <sz val="9.0"/>
      </rPr>
      <t>1.3 Gestión de la información – Básico</t>
    </r>
    <r>
      <rPr>
        <rFont val="Arial"/>
        <color rgb="FF7030A0"/>
        <sz val="9.0"/>
      </rPr>
      <t xml:space="preserve">
Con la IA (DigComp 3.0, nivel real): CS1.2.08 – Intermedio: reconoce que los datos con que se entrena una IA influyen en qué tan confiable es.</t>
    </r>
  </si>
  <si>
    <t>Colaboración a través de tecnologías digitales</t>
  </si>
  <si>
    <t>Collaborating through digital technologies</t>
  </si>
  <si>
    <t>10.° U1: 1.8 · 10.° U3: 3.8 · 10.° U5: 5.4 · 10.° U8: 8.1 · 11.° U1: 1.6 · 11.° U2: 2.4 · 11.° U3: 3.11 · 11.° U4: 4.2 · 11.° U5: 5.2 · 11.° U7: 7.2</t>
  </si>
  <si>
    <t>2.5</t>
  </si>
  <si>
    <t>Comportamiento digital</t>
  </si>
  <si>
    <t>Digital behaviour</t>
  </si>
  <si>
    <r>
      <rPr>
        <rFont val="Arial"/>
        <color theme="1"/>
        <sz val="9.0"/>
      </rPr>
      <t>Organizar los datos de altura de espuma en una hoja de cálculo y construir la gráfica actividad-temperatura con el promedio de repeticiones.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En tu experimento de discos de papa a distintas temperaturas, mide con regla la altura de la espuma y fotografía cada tubo. Entrena en Teachable Machine tres clases («poca», «media», «mucha» espuma) con tus fotos. Prueba el modelo con fotos nuevas y compáralo con la medición en milímetros. Escribe qué variable no controlada (luz, ángulo, tubo) confunde al modelo y por qué la regla es más confiable.
Evidencia: Ficha «Yo pienso · La IA dice · Lo comprobé»: en «Yo pienso» tu predicción de espuma por temperatura; en «La IA dice» la clase que dio el modelo rotulada «Respuesta de IA»; en «Lo comprobé» tabla «Temperatura · mm medidos · Clase del modelo» y tu gráfica. Marca ✔/✘ cada dato de la IA y anota una línea en tu registro de uso de IA.
→ PISA D4 · TIMSS Razonar</t>
    </r>
  </si>
  <si>
    <t>10.° U3: 3.3 · 11.° U1: 1.10 · 11.° U4: 4.12 · 11.° U8: 8.7</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</si>
  <si>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</si>
  <si>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Respeto al medio ambiente, entorno y territorio
Deposita los residuos de peróxido en el recipiente indicado por la docente y composta los restos de papa, sin verterlos al suelo.</t>
  </si>
  <si>
    <t>2.6</t>
  </si>
  <si>
    <t>Oficial
Malla 10.° grado, U7 · 7.8</t>
  </si>
  <si>
    <t>Gestión de la identidad digital</t>
  </si>
  <si>
    <t>Managing digital identity</t>
  </si>
  <si>
    <t>10.° U2: 2.1 · 11.° U1: 1.12 · 11.° U3: 3.15 · 11.° U5: 5.12</t>
  </si>
  <si>
    <t>Enzimas en bases de datos biológicas</t>
  </si>
  <si>
    <t>3.1</t>
  </si>
  <si>
    <t>2.8. Búsqueda y visualización de enzimas en bases de datos.</t>
  </si>
  <si>
    <t>3. Creación de contenidos</t>
  </si>
  <si>
    <t>Desarrollo de contenidos digitales</t>
  </si>
  <si>
    <t>Developing digital content</t>
  </si>
  <si>
    <r>
      <rPr>
        <rFont val="Arial"/>
        <color theme="1"/>
        <sz val="9.0"/>
      </rPr>
      <t>Busca información sobre procesos biotecnológicos en bases de datos académicas usando palabras clave en español e inglés y filtra por fuente.</t>
    </r>
    <r>
      <rPr>
        <rFont val="Arial"/>
        <color rgb="FF7030A0"/>
        <sz val="9.0"/>
      </rPr>
      <t xml:space="preserve">
IA (Aproximar · el estudiante, solo o en pareja).
Herramienta y medio: Gemini (gemini.google.com) con tu cuenta institucional, en el celular, la tableta o la computadora del CRA. Sin internet: usa la respuesta de IA impresa en tu ficha.
Actividad: Haz una lista de productos de tu casa que creas que se hacen con microorganismos (yogur, pan, chicha, quesillo, vinagre). Pregúntale a la IA: «¿Cuáles de estos productos se obtienen gracias a microorganismos y cuáles son esos microorganismos?». Marca las respuestas que no puedes confirmar y búscalas en una fuente científica o en etiquetas de los productos.
Evidencia: Ficha «Yo pienso · La IA dice · Lo comprobé»: tu lista, la Respuesta de IA rotulada y una tabla «Producto · Microorganismo según IA · Fuente que lo confirma». Línea en el registro de uso de IA.
→ PISA E1 · TIMSS Conocer</t>
    </r>
  </si>
  <si>
    <t>10.° U1: 1.3 · 10.° U2: 2.10 · 10.° U3: 3.2 · 10.° U4: 4.4 · 10.° U7: 7.1 · 11.° U1: 1.3 · 11.° U2: 2.5 · 11.° U3: 3.3 · 11.° U4: 4.6 · 11.° U5: 5.6 · 11.° U6: 6.4</t>
  </si>
  <si>
    <t>E6 · Reconoce que las bases de datos biológicas públicas permiten a investigadores y estudiantes salvadoreños acceder sin costo a información de enzimas.</t>
  </si>
  <si>
    <t>Uso ético de la información
Describe los productos por su proceso y no por su marca, y cita las fuentes científicas consultadas.
↳ Se trabaja en la actividad digital (DigComp 1.1).</t>
  </si>
  <si>
    <t>D1 · Pregunta guía: «¿Qué información sobre la catalasa se puede obtener en una base de datos de proteínas?».</t>
  </si>
  <si>
    <t>E2 · Interpreta la estructura tridimensional de la catalasa en el visor del PDB e identifica el sitio activo, el grupo hemo y su organización en subunidades.</t>
  </si>
  <si>
    <t>I1 · Busca en UniProt y en el PDB la amilasa humana y una celulasa bacteriana, y compara su organismo de origen, función y número de aminoácidos.</t>
  </si>
  <si>
    <t>I5 · Justifica el uso de celulasas bacterianas para aprovechar el bagazo de caña con la información obtenida de las bases de datos.</t>
  </si>
  <si>
    <t>Comunicación (Reforzar)
Comunica en una ficha técnica los datos obtenidos de cada enzima con su código de acceso y lenguaje científico preciso.</t>
  </si>
  <si>
    <t>Aplicar: extraer información de bases de datos. Razonar: justificar una aplicación biotecnológica</t>
  </si>
  <si>
    <t>Ficha técnica de dos enzimas con código de acceso, estructura, función y aplicación</t>
  </si>
  <si>
    <t>2.9. Obtiene información de enzimas a partir del uso de bases de datos.</t>
  </si>
  <si>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Los taxa específicos a emplear deberán ser compatibles con el sistema de tres dominios de Woese et al. (1990).^10 Para estandarizar la escritura correcta de taxa y nombres científicos se emplearán las siguientes reglamentaciones:
• Código Internacional de Nomenclatura de Bacterias (ICNB, por sus siglas en inglés).^13
• Código Internacional de Nomenclatura para algas, hongos y plantas (ICBN, por sus siglas en inglés).^12
• Código Internacional de Clasificación y Nomenclatura de Virus (ICVCN, por sus siglas en inglés).^14</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</si>
  <si>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</si>
  <si>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r>
      <rPr>
        <rFont val="Arial"/>
        <color theme="1"/>
        <sz val="9.0"/>
      </rPr>
      <t>Evaluar la fiabilidad de las entradas de UniProt distinguiendo las revisadas manualmente de las anotadas de forma automática.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Busca tú en UniProt la amilasa humana y una celulasa bacteriana y anota su organismo, su función y su número de aminoácidos. Luego pregúntale a Gemini: «¿Cuántos aminoácidos tiene la amilasa salival humana y cuál es su código en UniProt?». Compara cada dato con la base de datos. Escribe por qué la IA puede inventar códigos que parecen reales y por qué la base de datos es la fuente que manda.
Evidencia: Ficha «Yo pienso · La IA dice · Lo comprobé»: en «Yo pienso» tu tabla con los datos de UniProt; en «La IA dice» su respuesta rotulada «Respuesta de IA»; en «Lo comprobé» cada dato con ✔ o ✘ frente a UniProt y tu conclusión sobre la celulasa y el bagazo. Marca ✔/✘ cada dato de la IA y anota una línea en tu registro de uso de IA.
→ PISA I1 · TIMSS Razonar</t>
    </r>
  </si>
  <si>
    <t>Uso ético de la información
Cita el código de acceso y la base de datos de cada enzima consultada respetando sus condiciones de uso.
↳ Se trabaja en la actividad digital (DigComp 1.2).</t>
  </si>
  <si>
    <t>Oficial
Malla 10.° grado, U7 · 7.9</t>
  </si>
  <si>
    <t>Oficial
Malla 11.° grado, U5 · 5.1</t>
  </si>
  <si>
    <t>Respiración celular</t>
  </si>
  <si>
    <t>Procesos oxidativos</t>
  </si>
  <si>
    <t>2.9. Indagación de los procesos oxidativos que suceden en la respiración celular.</t>
  </si>
  <si>
    <t>E1 · Relaciona la oxidación de un clavo o la combustión de la leña en el fogón con los procesos oxidativos controlados que ocurren en la célula.</t>
  </si>
  <si>
    <t>Microorganismos de interés industrial y médico</t>
  </si>
  <si>
    <t>2.2. Observación de microorganismos de interés industrial o médico empleando técnicas de tinción.</t>
  </si>
  <si>
    <t>E5 · Formula una hipótesis sobre por qué la célula oxida la glucosa en muchos pasos pequeños en lugar de liberar toda su energía de una vez.</t>
  </si>
  <si>
    <t>E1 · Explica la oxidación como pérdida de electrones y la reducción como ganancia, e identifica al NAD⁺ y al FAD como transportadores que los reciben, sin detallar las rutas metabólicas.</t>
  </si>
  <si>
    <t>E4 · Representa con un diagrama de escalones la liberación gradual de energía en la oxidación celular frente a la liberación brusca en la combustión.</t>
  </si>
  <si>
    <t>3.2</t>
  </si>
  <si>
    <t>E1 · Recuerda por qué es imposible contar uno a uno todos los peces de un lago o todas las iguanas de un bosque.</t>
  </si>
  <si>
    <t>E3 · Predice qué sucede con la producción de energía celular si falta oxígeno como aceptor final de electrones y justifica con el modelo de escalones.</t>
  </si>
  <si>
    <t>D1 · Pregunta guía: «¿Cómo se puede estimar cuántos individuos hay en una población sin contarlos todos?».</t>
  </si>
  <si>
    <t>Creatividad (Explorar)
Imagina y dibuja una analogía original que compare la combustión de la leña con la oxidación escalonada en la célula.</t>
  </si>
  <si>
    <t>Integración y reelaboración de contenidos digitales</t>
  </si>
  <si>
    <t>Conocer: definir oxidación y reducción. Aplicar: representar los procesos oxidativos con un modelo</t>
  </si>
  <si>
    <t>E2 · Aplica la expresión N = MC/R para estimar el tamaño de una población de frijoles en una bolsa con individuos marcados.</t>
  </si>
  <si>
    <t>Integrating and re-elaborating digital content</t>
  </si>
  <si>
    <t>Diagrama de escalones energéticos con las semirreacciones de oxidación y reducción señaladas</t>
  </si>
  <si>
    <t>10.° U1: 1.2 · 10.° U3: 3.11 · 10.° U4: 4.3 · 11.° U2: 2.9 · 11.° U3: 3.13 · 11.° U5: 5.5 · 11.° U6: 6.6 · 11.° U8: 8.3</t>
  </si>
  <si>
    <t>2.10. Ejemplifica los procesos oxidativos que suceden en la respiración celular.</t>
  </si>
  <si>
    <t>3.3</t>
  </si>
  <si>
    <t>D2 · Diseña variantes del modelo de frijoles que simulen el incumplimiento de supuestos, como la pérdida de marcas o la inmigración.</t>
  </si>
  <si>
    <r>
      <rPr>
        <rFont val="Arial"/>
        <color theme="1"/>
        <sz val="9.0"/>
      </rPr>
      <t>3.1 Desarrollo de contenidos digitales – Básico</t>
    </r>
    <r>
      <rPr>
        <rFont val="Arial"/>
        <color rgb="FF7030A0"/>
        <sz val="9.0"/>
      </rPr>
      <t xml:space="preserve">
Con la IA (DigComp 3.0, nivel real): CS1.2.09 – Intermedio: reconoce que la IA a veces no puede explicar cómo llegó a su respuesta.</t>
    </r>
  </si>
  <si>
    <t>D3 · Evalúa la precisión del método comparando las estimaciones de todos los equipos con el número real de frijoles.</t>
  </si>
  <si>
    <t>Derechos de autor y licencias</t>
  </si>
  <si>
    <t>Copyright and licences</t>
  </si>
  <si>
    <t>Colaboración (Indagar)
Reúne con los demás equipos las estimaciones y calcula en conjunto el promedio y la dispersión.</t>
  </si>
  <si>
    <t>10.° U1: 1.11 · 10.° U5: 5.2 · 11.° U1: 1.9 · 11.° U2: 2.3 · 11.° U3: 3.10 · 11.° U4: 4.15 · 11.° U8: 8.5</t>
  </si>
  <si>
    <t>Aplicar: estimar tamaños poblacionales. Razonar: evaluar supuestos y precisión de un método</t>
  </si>
  <si>
    <t>Registro de cinco estimaciones de captura-recaptura con análisis del efecto de los supuestos</t>
  </si>
  <si>
    <t>3.4</t>
  </si>
  <si>
    <r>
      <rPr>
        <rFont val="Arial"/>
        <color theme="1"/>
        <sz val="9.0"/>
      </rPr>
      <t>Crear una animación sencilla en una presentación digital que muestre la liberación escalonada de energía en la oxidación celular.</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un diagrama de escalones que compare la liberación de energía en la respiración celular con la de quemar azúcar de golpe. Luego pregúntale al cuaderno NotebookLM: «¿Por qué la célula oxida la glucosa en muchos pasos y qué pasa si falta oxígeno como aceptor final?». Compara con tu diagrama y corrige solo lo que la fuente justifique, citándola.
Evidencia: Ficha «Yo pienso · La IA dice · Lo comprobé»: en «Yo pienso» tu diagrama de escalones; en «La IA dice» la explicación rotulada «Respuesta de IA» con su fuente; en «Lo comprobé» el diagrama corregido con cada cambio citado. Marca ✔/✘ cada dato de la IA y anota una línea en tu registro de uso de IA.
→ PISA E1 · TIMSS Aplicar</t>
    </r>
  </si>
  <si>
    <t>2.2. Distingue las características de los microorganismos de interés industrial y de aquellos con importancia médica.</t>
  </si>
  <si>
    <t>Pensamiento computacional y programación</t>
  </si>
  <si>
    <t>Uso ético de la información
Elabora su animación con dibujos propios y cita las fuentes de las ideas que adaptó.
↳ Se trabaja en la actividad digital (DigComp 3.1).</t>
  </si>
  <si>
    <t>Computational thinking and programming</t>
  </si>
  <si>
    <t>Oficial
Malla 10.° grado, U7 · 7.10</t>
  </si>
  <si>
    <t>10.° U1: 1.6 · 10.° U2: 2.3 · 10.° U4: 4.1 · 10.° U5: 5.7 · 10.° U7: 7.3 · 11.° U2: 2.14 · 11.° U3: 3.8 · 11.° U4: 4.8 · 11.° U5: 5.3 · 11.° U7: 7.6 · 11.° U8: 8.1</t>
  </si>
  <si>
    <r>
      <rPr>
        <rFont val="Arial"/>
        <color theme="1"/>
        <sz val="9.0"/>
      </rPr>
      <t>5.1 Identificación y resolución de problemas técnicos – Básico</t>
    </r>
    <r>
      <rPr>
        <rFont val="Arial"/>
        <color rgb="FF7030A0"/>
        <sz val="9.0"/>
      </rPr>
      <t xml:space="preserve">
Con la IA (DigComp 3.0, nivel real): CS1.2.13 – Intermedio: valora qué tan confiable es una fuente, teniendo en cuenta el papel de la IA.</t>
    </r>
  </si>
  <si>
    <t>4.1</t>
  </si>
  <si>
    <t>4. Seguridad, bienestar y uso responsable</t>
  </si>
  <si>
    <t>Respiración aerobia
Fermentación</t>
  </si>
  <si>
    <t>Protección de dispositivos</t>
  </si>
  <si>
    <t>2.10. Comprobación experimental de la respiración celular aerobia y la fermentación.</t>
  </si>
  <si>
    <t>Protecting devices</t>
  </si>
  <si>
    <t>10.° U2: 2.14 · 11.° U3: 3.9 · 11.° U4: 4.13</t>
  </si>
  <si>
    <t>4.2</t>
  </si>
  <si>
    <t>E1 · Relaciona el leudado de la masa del pan francés en las panaderías salvadoreñas con el dióxido de carbono que liberan las levaduras.</t>
  </si>
  <si>
    <r>
      <rPr>
        <rFont val="Arial"/>
        <color theme="1"/>
        <sz val="9.0"/>
      </rPr>
      <t>Resuelve problemas de enfoque y de iluminación al acoplar la cámara del teléfono al ocular del microscopio para fotografiar las muestras.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Después de observar levadura de pan teñida al microscopio (o en imágenes de un atlas confiable), dibuja y describe su forma. Sube al cuaderno de NotebookLM fuentes sobre microorganismos de interés industrial y médico y pregúntale: «Clasifica estos microorganismos según su uso industrial o médico y su forma, citando la fuente». Compara con tu dibujo y señala lo que la IA no puede saber de tu muestra.
Evidencia: Ficha «Yo pienso · La IA dice · Lo comprobé»: dibujo rotulado de tu observación, Respuesta de IA rotulada y tabla «Microorganismo · Uso · Forma · Fuente». Línea en el registro de uso de IA.
→ PISA E6 · TIMSS Aplicar</t>
    </r>
  </si>
  <si>
    <t>D1 · Pregunta guía: «¿En qué condiciones liberan dióxido de carbono las levaduras y las semillas de frijol en germinación?».</t>
  </si>
  <si>
    <t>Convivir
Comparte el microscopio por turnos y cuida el material común durante la práctica de tinción.</t>
  </si>
  <si>
    <t>Protección de datos personales y privacidad</t>
  </si>
  <si>
    <t>E1 · Explica las diferencias generales entre la respiración aerobia y la fermentación en cuanto a necesidad de oxígeno, productos y rendimiento energético.</t>
  </si>
  <si>
    <t>Protecting personal data and privacy</t>
  </si>
  <si>
    <t>Oficial
Malla 11.° grado, U5 · 5.2</t>
  </si>
  <si>
    <t>D2 · Diseña y realiza un experimento con levadura, azúcar y agua tibia en botellas con globos, variando la cantidad de azúcar, y mide el perímetro del globo cada 10 minutos.</t>
  </si>
  <si>
    <t>10.° U2: 2.13 · 10.° U3: 3.1 · 10.° U4: 4.6 · 10.° U6: 6.3 · 11.° U1: 1.11 · 11.° U4: 4.11 · 11.° U6: 6.1</t>
  </si>
  <si>
    <t>D3 · Evalúa un montaje alternativo con semillas de frijol en germinación y azul de bromotimol, y explica qué control haría falta para atribuir el cambio de color a la respiración.</t>
  </si>
  <si>
    <t>4.3</t>
  </si>
  <si>
    <t>Colaboración (Indagar)
Coordina con su equipo la medición periódica de los globos y la integración de los datos de todas las botellas.</t>
  </si>
  <si>
    <t>Cultivo de microorganismos</t>
  </si>
  <si>
    <t>Aplicar: controlar variables y medir. Razonar: interpretar gráficas y evaluar controles</t>
  </si>
  <si>
    <t>Manejo de cultivos microbianos</t>
  </si>
  <si>
    <t>Cuidado del bienestar</t>
  </si>
  <si>
    <t>Informe de laboratorio con gráfica del perímetro del globo en función del tiempo para cada cantidad de azúcar</t>
  </si>
  <si>
    <t>2.5. Elaboración de cultivos bacterianos en medios sólidos.</t>
  </si>
  <si>
    <t>Supporting wellbeing</t>
  </si>
  <si>
    <t>2.11. Efectúa un experimento para comprobar la ocurrencia de la respiración celular aerobia o de la fermentación.</t>
  </si>
  <si>
    <t>10.° U2: 2.15 · 10.° U3: 3.9 · 10.° U7: 7.6 · 11.° U3: 3.14 · 11.° U4: 4.4</t>
  </si>
  <si>
    <t>4.4</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</si>
  <si>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CS2.1.10 – Intermedio: formula y mejora instrucciones (prompts) para un asistente de IA.</t>
    </r>
  </si>
  <si>
    <r>
      <rPr>
        <rFont val="Arial"/>
        <color theme="1"/>
        <sz val="10.0"/>
      </rPr>
      <t>Protección del medio ambiente</t>
    </r>
    <r>
      <rPr>
        <rFont val="Arial"/>
        <color rgb="FF7030A0"/>
        <sz val="10.0"/>
      </rPr>
      <t xml:space="preserve">
DigComp 3.0: Impacto ambiental de las tecnologías digitales</t>
    </r>
  </si>
  <si>
    <r>
      <rPr>
        <rFont val="Arial"/>
        <color theme="1"/>
        <sz val="10.0"/>
      </rPr>
      <t>Protecting the environment</t>
    </r>
    <r>
      <rPr>
        <rFont val="Arial"/>
        <color rgb="FF7030A0"/>
        <sz val="10.0"/>
      </rPr>
      <t xml:space="preserve">
Nombre oficial en DigComp 3.0 (JRC, 2025): Environmental impacts of digital technologies</t>
    </r>
  </si>
  <si>
    <t>10.° U1: 1.5 · 10.° U2: 2.11 · 10.° U8: 8.2, 8.4 · 11.° U1: 1.7 · 11.° U4: 4.3</t>
  </si>
  <si>
    <r>
      <rPr>
        <rFont val="Arial"/>
        <color theme="1"/>
        <sz val="9.0"/>
      </rPr>
      <t>Consultar en fuentes del MARN cómo reducir residuos orgánicos y elaborar una guía digital para compostar los restos del experimento.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Diseña tu experimento con levadura, azúcar y agua tibia en botellas con globos, variando solo la cantidad de azúcar. Escribe tu hipótesis y mide el perímetro del globo cada 10 minutos. Después pídele a Gemini: «Revisa este diseño: … ¿Qué variables debo controlar y qué control me falta?». Compara su lista con la tuya y con lo que pasó en tus botellas; anota qué sugerencia no se puede comprobar con tus datos.
Evidencia: Ficha «Yo pienso · La IA dice · Lo comprobé»: en «Yo pienso» tu hipótesis y tus variables; en «La IA dice» su revisión rotulada «Respuesta de IA»; en «Lo comprobé» tu tabla y gráfica de perímetro contra tiempo por cantidad de azúcar. Marca ✔/✘ cada dato de la IA y anota una línea en tu registro de uso de IA.
→ PISA D2 · TIMSS Razonar</t>
    </r>
  </si>
  <si>
    <t>5.1</t>
  </si>
  <si>
    <t>5. Identificación y resolución de problemas</t>
  </si>
  <si>
    <t>Respeto al medio ambiente, entorno y territorio
Composta los restos de levadura y semillas del experimento y reutiliza las botellas plásticas en lugar de desecharlas.
↳ Se trabaja en la actividad digital (DigComp 4.4).</t>
  </si>
  <si>
    <t>Identificación y resolución de problemas técnicos</t>
  </si>
  <si>
    <t>Oficial
Malla 10.° grado, U7 · 7.11</t>
  </si>
  <si>
    <t>Identifying and solving technical problems</t>
  </si>
  <si>
    <t>10.° U2: 2.5 · 10.° U6: 6.2 · 11.° U2: 2.2 · 11.° U3: 3.2 · 11.° U5: 5.8 · 11.° U6: 6.5 · 11.° U8: 8.4</t>
  </si>
  <si>
    <t>2.5. Explica el proceso general para establecer un cultivo bacteriano en un medio sólido.</t>
  </si>
  <si>
    <t>Cadena transportadora de electrones</t>
  </si>
  <si>
    <t>5.2</t>
  </si>
  <si>
    <t>2.11. Simulación del funcionamiento de una cadena de transporte de electrones.</t>
  </si>
  <si>
    <r>
      <rPr>
        <rFont val="Arial"/>
        <color theme="1"/>
        <sz val="9.0"/>
      </rPr>
      <t>3.1 Desarrollo de contenidos digitales – Básico</t>
    </r>
    <r>
      <rPr>
        <rFont val="Arial"/>
        <color rgb="FF7030A0"/>
        <sz val="9.0"/>
      </rPr>
      <t xml:space="preserve">
Con la IA (DigComp 3.0, nivel real): CS3.1.08 – Intermedio: describe ventajas y límites de usar IA para crear contenidos.</t>
    </r>
  </si>
  <si>
    <t>Identificación de necesidades y respuestas tecnológicas</t>
  </si>
  <si>
    <t>Identifying needs and digital technological responses</t>
  </si>
  <si>
    <t>10.° U1: 1.7 · 10.° U6: 6.4 · 11.° U1: 1.5 · 11.° U3: 3.7 · 11.° U4: 4.14 · 11.° U5: 5.11</t>
  </si>
  <si>
    <t>E1 · Recuerda cómo el agua acumulada en la presa del Cerrón Grande mueve las turbinas y anticipa que un gradiente puede generar trabajo.</t>
  </si>
  <si>
    <t>D1 · Pregunta guía: «¿Cómo convierte la mitocondria el paso de electrones en síntesis de ATP?».</t>
  </si>
  <si>
    <t>5.3</t>
  </si>
  <si>
    <t>E4 · Explica con un modelo general cómo los electrones del NADH y del FADH₂ recorren los complejos de la membrana mitocondrial, bombean protones y llegan al oxígeno, y cómo la ATP sintasa aprovecha el gradiente.</t>
  </si>
  <si>
    <t>Identificación de soluciones creativas con tecnologías digitales</t>
  </si>
  <si>
    <t>D4 · Interpreta una animación interactiva de la cadena transportadora al bloquear un complejo y concluye qué ocurre con el gradiente de protones y la producción de ATP.</t>
  </si>
  <si>
    <r>
      <rPr>
        <rFont val="Arial"/>
        <color theme="1"/>
        <sz val="9.0"/>
      </rPr>
      <t>Graba y edita un video breve que muestra los pasos de la siembra por estría y del sellado de la placa para el aula virtual.</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tu protocolo para preparar un medio sólido casero con gelatina sin sabor y caldo, y cómo sembrar con un hisopo una superficie de la casa. Pídele a la IA: «Revisa los pasos de asepsia de este protocolo y dime qué falta: [tu protocolo]». Decide tú qué cambios aceptar. Mantén las placas cerradas con cinta, obsérvalas sin abrirlas y deséchalas selladas con cloro diluido por fuera.
Evidencia: Protocolo final con cambios marcados, Respuesta de IA rotulada y fotos de las placas cerradas. Declaración de uso de IA («Así usé la IA: … · Lo que revisé yo: …») y línea en el registro de uso de IA.
→ PISA E6 · TIMSS Aplicar</t>
    </r>
  </si>
  <si>
    <t>Identifying creative solutions using digital technologies</t>
  </si>
  <si>
    <t>E3 · Predice el efecto del cianuro, que bloquea el último complejo de la cadena, sobre la producción de ATP y justifica por qué es tóxico.</t>
  </si>
  <si>
    <t>Respeto al medio ambiente, entorno y territorio
Cumple el protocolo de bioseguridad: las placas selladas no se abren y la docente las esteriliza antes de desecharlas.</t>
  </si>
  <si>
    <t>10.° U2: 2.2, 2.12 · 10.° U3: 3.6 · 10.° U5: 5.3 · 11.° U2: 2.13 · 11.° U4: 4.5 · 11.° U7: 7.3 · 11.° U8: 8.2</t>
  </si>
  <si>
    <t>Pensamiento crítico (Indagar)
Analiza qué evidencias de la simulación sostienen que el gradiente de protones es el intermediario entre el transporte de electrones y la síntesis de ATP.</t>
  </si>
  <si>
    <t>Oficial
Malla 11.° grado, U5 · 5.5</t>
  </si>
  <si>
    <t>Conocer: describir los componentes de la cadena de transporte de electrones. Aplicar: usar un modelo. Razonar: predecir efectos de un bloqueo en un sistema</t>
  </si>
  <si>
    <t>5.4</t>
  </si>
  <si>
    <t>Esquema rotulado de la cadena transportadora de electrones con conclusiones del bloqueo simulado</t>
  </si>
  <si>
    <t>Identificación y atención de necesidades de competencia digital</t>
  </si>
  <si>
    <t>2.12. Explica el funcionamiento general de una cadena de transporte de electrones.</t>
  </si>
  <si>
    <t>Identifying and addressing digital competence needs</t>
  </si>
  <si>
    <t>Recuento</t>
  </si>
  <si>
    <t>10.° U2: 2.4 · 10.° U6: 6.1 · 11.° U2: 2.11 · 11.° U4: 4.10</t>
  </si>
  <si>
    <t>2.6. Estimación de la cantidad de colonias en placas de cultivo.</t>
  </si>
  <si>
    <r>
      <rPr>
        <rFont val="Arial"/>
        <color theme="1"/>
        <sz val="9.0"/>
      </rPr>
      <t>5.3 Identificación de soluciones creativas con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</si>
  <si>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i/>
        <color theme="1"/>
        <sz val="9.0"/>
      </rPr>
      <t>Misma nomenclatura que las mallas de 2.° a 9.° grado (el JRC no ha publicado una traducción oficial al español de DigComp 3.0). Todas las competencias se registran en nivel Básico, como en toda la malla, con mayor autonomía y complejidad en Bachillerato. En azul: competencias usadas.</t>
    </r>
    <r>
      <rPr>
        <rFont val="Arial"/>
        <i/>
        <color rgb="FF7030A0"/>
        <sz val="9.0"/>
      </rPr>
      <t xml:space="preserve">
Actualización IA (09/10/2026): la competencia 4.4 se llama en DigComp 3.0 «Environmental impacts of digital technologies». En cada tema, la columna «Competencia digital» indica en morado el descriptor oficial (código CS) que trabaja la actividad con IA y su nivel real.</t>
    </r>
  </si>
  <si>
    <r>
      <rPr>
        <rFont val="Arial"/>
        <color theme="1"/>
        <sz val="9.0"/>
      </rPr>
      <t>Usar una animación interactiva de la cadena transportadora para modificar la disponibilidad de oxígeno y registrar el efecto sobre la síntesis de ATP.</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Dibuja la cadena transportadora con sus complejos, el sentido de los electrones y de los protones y la ATP sintasa. Predice qué pasa con el gradiente si se bloquea el último complejo. Pídele a Gemini que explique la cadena paso a paso y busca errores: ¿hacia dónde bombea los protones?, ¿quién es el aceptor final?, ¿dónde se forma el agua? Comprueba en tu libro y en la animación de la clase.
Evidencia: Ficha «Yo pienso · La IA dice · Lo comprobé»: en «Yo pienso» tu esquema y tu predicción; en «La IA dice» la explicación rotulada «Respuesta de IA» con los errores subrayados; en «Lo comprobé» la página o animación que usaste para verificar. Marca ✔/✘ cada dato de la IA y anota una línea en tu registro de uso de IA.
→ PISA E3 · TIMSS Aplicar</t>
    </r>
  </si>
  <si>
    <t>Convivir
Acuerda en pareja los turnos de manipulación de la simulación y de registro, respetando el ritmo del compañero.</t>
  </si>
  <si>
    <t>Oficial
Malla 10.° grado, U7 · 7.12</t>
  </si>
  <si>
    <t>Fotosíntesis</t>
  </si>
  <si>
    <t>Proceso general</t>
  </si>
  <si>
    <t>2.12. Demostración experimental de la actividad fotosintética.</t>
  </si>
  <si>
    <t>2.6. Estima la cantidad de colonias de un cultivo microbiano en un medio sólido utilizando un método de recuento sencillo.</t>
  </si>
  <si>
    <r>
      <rPr>
        <rFont val="Arial"/>
        <color theme="1"/>
        <sz val="9.0"/>
      </rPr>
      <t>1.3 Gestión de la información – Básico</t>
    </r>
    <r>
      <rPr>
        <rFont val="Arial"/>
        <color rgb="FF7030A0"/>
        <sz val="9.0"/>
      </rPr>
      <t xml:space="preserve">
Con la IA (DigComp 3.0, nivel real): CS1.2.08 – Intermedio: reconoce que los datos con que se entrena una IA influyen en qué tan confiable es.</t>
    </r>
  </si>
  <si>
    <t>E6 · Reconoce que los cafetales bajo sombra y los bosques salvadoreños dependen de la fotosíntesis y aportan oxígeno y captura de carbono.</t>
  </si>
  <si>
    <t>D1 · Pregunta guía: «¿Por qué los discos de hoja suben a la superficie cuando se iluminan en agua con bicarbonato?».</t>
  </si>
  <si>
    <r>
      <rPr>
        <rFont val="Arial"/>
        <color theme="1"/>
        <sz val="9.0"/>
      </rPr>
      <t>Organiza en una hoja de cálculo los conteos de todas las placas y programa la fórmula de UFC/mL con su factor de dilución.</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Cuenta a mano las colonias de una foto de tu placa cerrada (o de imágenes de un atlas libre) usando una cuadrícula. Entrena Teachable Machine con recortes de «colonia» y «fondo» y úsalo para contar en otra foto, recorte por recorte. Compara su conteo con el tuyo y calcula el porcentaje de error. Explica qué pasa con colonias pegadas o reflejos.
Evidencia: Ficha «Yo pienso · La IA dice · Lo comprobé»: conteo manual, conteo del modelo rotulado «hecho con IA» y cálculo del error porcentual. Línea en el registro de uso de IA.
Refuerza con: Teachable Machine (https://teachablemachine.withgoogle.com)
→ PISA D4 · TIMSS Razonar</t>
    </r>
  </si>
  <si>
    <t>Convivir
Comparte el conteo de colonias con su equipo y acepta la revisión de sus cifras por otro integrante.</t>
  </si>
  <si>
    <t>E1 · Explica el proceso general de la fotosíntesis con su ecuación global e identifica la fase luminosa y la fijación de dióxido de carbono, sin detallar el ciclo de Calvin.</t>
  </si>
  <si>
    <t>Oficial
Malla 11.° grado, U5 · 5.6</t>
  </si>
  <si>
    <t>D4 · Mide el tiempo que tardan en flotar discos de hoja de espinaca bajo distintas intensidades de luz medidas con el sensor de phyphox y concluye sobre la relación entre luz y actividad fotosintética.</t>
  </si>
  <si>
    <t>E3 · Predice el resultado si se elimina el bicarbonato de la solución y justifica su predicción con la ecuación global de la fotosíntesis.</t>
  </si>
  <si>
    <t>Comunicación (Reforzar)
Comunica sus resultados en un póster científico con gráfica, conclusión y lenguaje técnico apropiado.</t>
  </si>
  <si>
    <t>Aplicaciones agrícolas y alimentarias</t>
  </si>
  <si>
    <t>Microorganismos en el ambiente, la agricultura y la alimentación</t>
  </si>
  <si>
    <t>Aplicar: medir y graficar. Razonar: interpretar la relación entre variables</t>
  </si>
  <si>
    <t>2.7. Indagación de la importancia demetabolismo bacteriano en el ambiente y sus aplicaciones en agricultura y alimentación..</t>
  </si>
  <si>
    <t>Gráfica del tiempo de flotación en función de la intensidad luminosa con conclusión escrita</t>
  </si>
  <si>
    <t>2.13. Interpreta los resultados de un experimento demostrativo de la actividad fotosintética.</t>
  </si>
  <si>
    <r>
      <rPr>
        <rFont val="Arial"/>
        <color theme="1"/>
        <sz val="9.0"/>
      </rPr>
      <t>4.2 Protección de datos personales y privacidad – Básico</t>
    </r>
    <r>
      <rPr>
        <rFont val="Arial"/>
        <color rgb="FF7030A0"/>
        <sz val="9.0"/>
      </rPr>
      <t xml:space="preserve">
Con la IA (DigComp 3.0, nivel real): CS1.2.08 – Intermedio: reconoce que los datos con que se entrena una IA influyen en qué tan confiable es.</t>
    </r>
  </si>
  <si>
    <t>2.7. Identifica aplicaciones del metabolismo bacteriano en la agricultura y la alimentación.</t>
  </si>
  <si>
    <r>
      <rPr>
        <rFont val="Arial"/>
        <color theme="1"/>
        <sz val="9.0"/>
      </rPr>
      <t>Revisar los permisos que solicita la aplicación phyphox antes de usar el sensor de luz y desactivar los que no son necesarios.</t>
    </r>
    <r>
      <rPr>
        <rFont val="Arial"/>
        <color rgb="FF7030A0"/>
        <sz val="9.0"/>
      </rPr>
      <t xml:space="preserve">
IA (Indagar · el estudiante, solo o en pareja).
Herramienta y medio: app Pl@ntNet (plantnet.org) en el celular o la tableta; muestra varias opciones con su porcentaje de confianza.
Actividad: Identifica con Pl@ntNet dos plantas del patio con hojas distintas (por ejemplo, una gruesa y una delgada). Predice cuál tendrá más actividad fotosintética. Haz la prueba de los discos de hoja en agua con bicarbonato bajo la misma luz y mide el tiempo en que flota la mitad de los discos. Revisa que el nombre de Pl@ntNet sea creíble comparándolo con otras fotos y su porcentaje de confianza.
Evidencia: Ficha «Yo pienso · La IA dice · Lo comprobé»: en «Yo pienso» tu predicción; en «La IA dice» la especie y el porcentaje que dio Pl@ntNet rotulados «Respuesta de IA»; en «Lo comprobé» tabla «Planta · Tiempo de flotación» y tu explicación con la ecuación global. Marca ✔/✘ cada dato de la IA y anota una línea en tu registro de uso de IA.
Refuerza con: iNaturalist: observaciones de El Salvador (consulta sin cuenta) (https://www.inaturalist.org)
→ PISA D4 · TIMSS Razonar</t>
    </r>
  </si>
  <si>
    <r>
      <rPr>
        <rFont val="Arial"/>
        <color theme="1"/>
        <sz val="9.0"/>
      </rPr>
      <t>2.1 Interacción a través de y con tecnologías digitales – Básico</t>
    </r>
    <r>
      <rPr>
        <rFont val="Arial"/>
        <color rgb="FF7030A0"/>
        <sz val="9.0"/>
      </rPr>
      <t xml:space="preserve">
Con la IA (DigComp 3.0, nivel real): CS1.2.13 – Intermedio: valora qué tan confiable es una fuente, teniendo en cuenta el papel de la IA.</t>
    </r>
  </si>
  <si>
    <t>Uso ético de la información
Protege sus datos personales al limitar los permisos de ubicación y cámara que solicita la aplicación de sensores.
↳ Se trabaja en la actividad digital (DigComp 4.2).</t>
  </si>
  <si>
    <t>Oficial
Malla 10.° grado, U7 · 7.13</t>
  </si>
  <si>
    <r>
      <rPr>
        <rFont val="Arial"/>
        <color theme="1"/>
        <sz val="9.0"/>
      </rPr>
      <t>Realiza una entrevista por videollamada a un técnico agrícola sobre el uso de bioinsumos, con preguntas preparadas y permiso para grabar.</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qué hacen las bacterias del suelo en la descomposición, la fijación de nitrógeno y la producción de abono orgánico (bocashi). Crea un cuaderno de NotebookLM con fichas del CENTA y pregúntale: «¿Qué microorganismos se usan en abonos orgánicos y biofertilizantes en El Salvador y qué metabolismo aprovechan? Cita la fuente». Compara con tus ideas y añade lo que la fuente confirme.
Evidencia: Ficha «Yo pienso · La IA dice · Lo comprobé»: tus ideas, Respuesta de IA rotulada con citas y esquema «Microorganismo · Proceso metabólico · Aplicación agrícola». Línea en el registro de uso de IA.
Refuerza con: CENTA (https://www.centa.gob.sv)
→ PISA I1 · TIMSS Razonar</t>
    </r>
  </si>
  <si>
    <t>Convivir
Trata con respeto y puntualidad al especialista entrevistado y agradece su tiempo al finalizar.
↳ Se trabaja en la actividad digital (DigComp 2.1).</t>
  </si>
  <si>
    <t>Pigmentos fotosintéticos</t>
  </si>
  <si>
    <t>Oficial
Malla 11.° grado, U5 · 5.7</t>
  </si>
  <si>
    <t>2.13. Experimentación con la extracción y separación de pigmentos fotosintéticos.</t>
  </si>
  <si>
    <t>Tecnologías basadas en la fermentación</t>
  </si>
  <si>
    <t>2.8. Aplicación de tecnologías basadas en la fermentación.</t>
  </si>
  <si>
    <t>E1 · Recuerda las relaciones interespecíficas de depredación, competencia, mutualismo, comensalismo y parasitismo.</t>
  </si>
  <si>
    <t>E1 · Relaciona los colores verdes, amarillos y rojizos de las hojas del almendro y del cafeto con la presencia de distintos pigmentos.</t>
  </si>
  <si>
    <t>E3 · Predice qué ocurrirá con la población de depredadores algunos años después de un aumento de presas y justifica su predicción.</t>
  </si>
  <si>
    <t>E3 · Predice cuántas bandas de color aparecerán al separar el extracto de hojas de espinaca y justifica su predicción.</t>
  </si>
  <si>
    <t>E4 · Usa las ecuaciones de Lotka-Volterra para explicar por qué los picos de depredadores ocurren después de los picos de presas.</t>
  </si>
  <si>
    <t>E2 · Interpreta un cromatograma calculando el factor de retención de clorofila a, clorofila b, carotenos y xantofilas, y lo relaciona con su polaridad.</t>
  </si>
  <si>
    <t>D4 · Compara la simulación del modelo con los registros históricos de linces y liebres de Canadá e identifica coincidencias y diferencias.</t>
  </si>
  <si>
    <t>D3 · Evalúa los supuestos del modelo, como la ausencia de otros alimentos, y cómo limitan su aplicación a ecosistemas salvadoreños.</t>
  </si>
  <si>
    <t>D2 · Realiza la extracción de pigmentos macerando hojas con alcohol que dispensa la docente, lejos de toda llama, los separa en tiras de papel filtro y deposita el residuo en el recipiente indicado.</t>
  </si>
  <si>
    <t>Pensamiento crítico (Indagar)
Identifica las diferencias entre el modelo y los datos reales y propone qué factores ecológicos las explican.</t>
  </si>
  <si>
    <t>Aplicar: simular un modelo de ecuaciones acopladas. Razonar: contrastar un modelo con datos y evaluar sus supuestos</t>
  </si>
  <si>
    <t>Gráfica de simulación de Lotka-Volterra superpuesta a datos históricos con análisis escrito de diferencias</t>
  </si>
  <si>
    <t>2.8. Obtiene un bioproducto o producto alimenticio empleando una tecnología basada en la fermentación.</t>
  </si>
  <si>
    <r>
      <rPr>
        <rFont val="Arial"/>
        <color theme="1"/>
        <sz val="9.0"/>
      </rPr>
      <t>2.2 Compartir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</si>
  <si>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I1 · Consulta fuentes confiables sobre los espectros de absorción de los pigmentos y explica por qué la mayoría de las hojas se ven verdes.</t>
  </si>
  <si>
    <r>
      <rPr>
        <rFont val="Arial"/>
        <color theme="1"/>
        <sz val="9.0"/>
      </rPr>
      <t>Comparte su gráfica pH-tiempo en el aula virtual con los demás equipos usando un formato de archivo accesible para todos.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Prepara dos frascos con agua, azúcar y levadura, uno tibio y uno frío, con un globo en la boca. Predice en cuál se inflará más el globo. Mide el perímetro del globo cada 10 minutos. Después pregúntale a la IA: «¿Cómo influye la temperatura en la fermentación de la levadura?». Compara su explicación con tu gráfica y anota lo que no coincide.
Evidencia: Ficha «Yo pienso · La IA dice · Lo comprobé»: predicción, gráfica «Tiempo · Perímetro del globo» para ambos frascos y Respuesta de IA rotulada, marcando aciertos y errores. Línea en el registro de uso de IA.
→ PISA D4 · TIMSS Razonar</t>
    </r>
  </si>
  <si>
    <t>Creatividad (Indagar)
Propone una mejora creativa del montaje de cromatografía, como variar el tipo de papel, y la pone a prueba.</t>
  </si>
  <si>
    <t>Respeto al medio ambiente, entorno y territorio
Desecha el producto fermentado y los envases según las indicaciones de la docente, sin verterlos al suelo.</t>
  </si>
  <si>
    <t>Aplicar: calcular el factor de retención. Razonar: relacionar separación y polaridad</t>
  </si>
  <si>
    <t>Oficial
Malla 11.° grado, U5 · 5.8</t>
  </si>
  <si>
    <t>Cromatograma rotulado con el cálculo del factor de retención de cada pigmento y su explicación</t>
  </si>
  <si>
    <t>Mecanismos de fermentación</t>
  </si>
  <si>
    <t>2.14. Efectúa un experimento de extracción y separación de pigmentos fotosintéticos.</t>
  </si>
  <si>
    <t>2.9. Explicación de los mecanismos de fermentación y sus aplicaciones.</t>
  </si>
  <si>
    <t>E6 · Reflexiona sobre la importancia de la tortuga golfina (Lepidochelys olivacea) y la carey (Eretmochelys imbricata) para las comunidades costeras.</t>
  </si>
  <si>
    <r>
      <rPr>
        <rFont val="Arial"/>
        <color theme="1"/>
        <sz val="9.0"/>
      </rPr>
      <t>4.1 Protección de dispositivos – Básico</t>
    </r>
    <r>
      <rPr>
        <rFont val="Arial"/>
        <color rgb="FF7030A0"/>
        <sz val="9.0"/>
      </rPr>
      <t xml:space="preserve">
Con la IA (DigComp 3.0, nivel real): CS1.2.08 – Intermedio: reconoce que los datos con que se entrena una IA influyen en qué tan confiable es.</t>
    </r>
  </si>
  <si>
    <t>D1 · Pregunta guía: «¿Cuántas crías deben liberarse cada año para que una población de tortugas marinas se mantenga estable?».</t>
  </si>
  <si>
    <t>E4 · Usa un modelo de tabla de vida simplificado para estimar cuántas crías llegan a la edad reproductiva.</t>
  </si>
  <si>
    <t>I3 · Argumenta con datos publicados de viveros de la costa salvadoreña el efecto de la veda de consumo de huevos sobre las liberaciones.</t>
  </si>
  <si>
    <t>I5 · Justifica una propuesta de conservación para una playa salvadoreña que combine protección de nidos, reducción de capturas incidentales y educación.</t>
  </si>
  <si>
    <t>Creatividad (Reforzar)
Diseña una campaña de sensibilización original para la comunidad escolar sobre la conservación de las tortugas marinas.</t>
  </si>
  <si>
    <t>Aplicar: estimar supervivencia con tablas de vida. Razonar: evaluar medidas de conservación con datos</t>
  </si>
  <si>
    <t>Propuesta de conservación argumentada con gráfica de liberaciones anuales y cálculo de supervivencia hasta la madurez</t>
  </si>
  <si>
    <r>
      <rPr>
        <rFont val="Arial"/>
        <color theme="1"/>
        <sz val="9.0"/>
      </rPr>
      <t>Proteger el dispositivo al instalar GeoGebra desde la tienda oficial y actualizarlo antes de medir en la fotografía del cromatograma las distancias recorridas.</t>
    </r>
    <r>
      <rPr>
        <rFont val="Arial"/>
        <color rgb="FF7030A0"/>
        <sz val="9.0"/>
      </rPr>
      <t xml:space="preserve">
IA (Reforzar · el estudiante, solo o en pareja).
Herramienta y medio: app Seek (gratis, sin crear cuenta) en el celular o la tableta.
Actividad: Con Seek, identifica tres plantas del patio con hojas de distinto color (verde, morada o roja, amarilla). Predice qué pigmentos tendrá cada una. Compara tu predicción con el cromatograma que obtuviste en clase y con una fuente confiable sobre espectros de absorción. Escribe por qué la mayoría de las hojas se ve verde. Si Seek solo llega a género, anótalo como límite de la IA.
Evidencia: Ficha «Yo pienso · La IA dice · Lo comprobé»: en «Yo pienso» tu predicción de pigmentos; en «La IA dice» el nombre que dio Seek rotulado «Respuesta de IA»; en «Lo comprobé» la foto de tu cromatograma rotulada y tu explicación del color verde. Marca ✔/✘ cada dato de la IA y anota una línea en tu registro de uso de IA.
Refuerza con: Pl@ntNet (https://plantnet.org)
→ PISA I1 · TIMSS Aplicar</t>
    </r>
  </si>
  <si>
    <t>2.9. Explica un mecanismo de fermentación y sus aplicaciones.</t>
  </si>
  <si>
    <t>Convivir
Comparte el dispositivo del equipo de forma ordenada y cuida el equipo de uso común.
↳ Se trabaja en la actividad digital (DigComp 4.1).</t>
  </si>
  <si>
    <t>Oficial
Malla 10.° grado, U7 · 7.14</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</si>
  <si>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</si>
  <si>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Integra y reelabora esquemas metabólicos de fuentes abiertas en un diagrama propio que distingue ambas fermentaciones.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las ecuaciones de la fermentación alcohólica y láctica y explica cuántos ATP se obtienen. Luego pídele a la IA: «Escribe las ecuaciones balanceadas de la fermentación alcohólica y láctica y el rendimiento energético». Revisa el balanceo átomo por átomo y el número de ATP. Usa el simulador de balanceo para comprobar. Explica cuál fermentación ocurre al hacer yogur y cuál al hacer chicha.
Evidencia: Ficha «Yo pienso · La IA dice · Lo comprobé»: tus ecuaciones, Respuesta de IA rotulada y conteo de átomos por elemento; marca dónde la IA se equivocó. Línea en el registro de uso de IA.
Refuerza con: PhET «Balanceo de ecuaciones químicas» (https://phet.colorado.edu/sims/html/balancing-chemical-equations/latest/balancing-chemical-equations_es.html)
→ PISA E6 · TIMSS Aplicar</t>
    </r>
  </si>
  <si>
    <t>Uso ético de la información
Indica las fuentes de los esquemas que reelaboró y respeta sus condiciones de reutilización.
↳ Se trabaja en la actividad digital (DigComp 3.2).</t>
  </si>
  <si>
    <t>Fotofosforilación</t>
  </si>
  <si>
    <t>Oficial
Malla 11.° grado, U5 · 5.9</t>
  </si>
  <si>
    <t>2.14 Simulación de los procesos de fotofosforilación de la fotosíntesis.</t>
  </si>
  <si>
    <t>Aplicaciones en medicina y farmacología</t>
  </si>
  <si>
    <t>Pruebas de detección clínica
Vacunas</t>
  </si>
  <si>
    <t>2.10. Exploración del rol de las vacunas y de las pruebas de detección clínica en la prevención y diagnóstico de enfermedades de origen microbiano.</t>
  </si>
  <si>
    <t>E1 · Recuerda la cadena transportadora mitocondrial estudiada y anticipa que el cloroplasto emplea un mecanismo parecido impulsado por la luz.</t>
  </si>
  <si>
    <t>E1 · Recuerda lo visto sobre el sistema inmunitario y la memoria inmunológica y lo aplica al funcionamiento de las vacunas.</t>
  </si>
  <si>
    <t>D1 · Pregunta guía: «¿Cómo se convierte la energía de la luz en ATP dentro del cloroplasto?».</t>
  </si>
  <si>
    <t>D1 · Pregunta guía: «¿Cómo se detecta en un laboratorio clínico si una persona tiene una infección de origen microbiano?».</t>
  </si>
  <si>
    <t>E4 · Utiliza modelos del funcionamiento de vacunas atenuadas, inactivadas, de subunidades y de ARNm para compararlas.</t>
  </si>
  <si>
    <t>E4 · Explica con un modelo de la membrana tilacoidal cómo los fotosistemas excitan electrones, cómo se libera oxígeno por fotólisis del agua y cómo la ATP sintasa produce ATP mientras se forma NADPH.</t>
  </si>
  <si>
    <t>I2 · Distingue evidencia científica de opiniones en mensajes difundidos en redes sociales sobre la seguridad de las vacunas.</t>
  </si>
  <si>
    <t>I5 · Justifica con datos del esquema nacional de vacunación del MINSAL por qué la vacunación protege a toda la comunidad.</t>
  </si>
  <si>
    <t>D4 · Interpreta una simulación de la fase luminosa al variar la intensidad y el color de la luz, y concluye cómo cambia la producción de ATP y NADPH.</t>
  </si>
  <si>
    <t>Pensamiento crítico (Reforzar)
Analiza críticamente mensajes sobre vacunas y pruebas diagnósticas, identificando afirmaciones sin evidencia.</t>
  </si>
  <si>
    <t>Conocer: reconocer tipos de vacunas y pruebas diagnósticas. Razonar: evaluar información sobre su seguridad</t>
  </si>
  <si>
    <t>Cuadro comparativo de tipos de vacunas y pruebas clínicas con análisis de un mensaje engañoso sobre vacunación</t>
  </si>
  <si>
    <t>2.10. Reconoce las vacunas y las pruebas de detección clínica como tecnologías médicas para la prevención y diagnóstico de enfermedades de origen microbiano.</t>
  </si>
  <si>
    <t>E3 · Compara la fotofosforilación con la fosforilación oxidativa y justifica sus semejanzas en el uso del gradiente de protones.</t>
  </si>
  <si>
    <r>
      <rPr>
        <rFont val="Arial"/>
        <color theme="1"/>
        <sz val="9.0"/>
      </rPr>
      <t>1.2 Evaluación de la información – Básico</t>
    </r>
    <r>
      <rPr>
        <rFont val="Arial"/>
        <color rgb="FF7030A0"/>
        <sz val="9.0"/>
      </rPr>
      <t xml:space="preserve">
Con la IA (DigComp 3.0, nivel real): CS4.3.04 – Básico: reconoce los límites de la IA para cuidar la salud y el bienestar.</t>
    </r>
  </si>
  <si>
    <t>Colaboración (Reforzar)
Construye con su equipo un cuadro comparativo entre fotofosforilación y fosforilación oxidativa integrando los aportes de todos.</t>
  </si>
  <si>
    <r>
      <rPr>
        <rFont val="Arial"/>
        <color theme="1"/>
        <sz val="9.0"/>
      </rPr>
      <t>Evalúa la fiabilidad de dos publicaciones sobre vacunas comparando autoría, respaldo científico, fecha y propósito del mensaje.</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con tus palabras cómo una vacuna prepara al sistema inmune y en qué se diferencian una prueba de antígeno y una de PCR. Crea un cuaderno de NotebookLM con fuentes del MINSAL y la OPS y pregúntale: «¿Cómo actúan las vacunas del esquema nacional y en qué se basan las pruebas de detección? Cita la fuente». No escribas datos de salud tuyos ni de tu familia; la IA no diagnostica.
Evidencia: Ficha «Yo pienso · La IA dice · Lo comprobé»: tu explicación, Respuesta de IA rotulada con citas y un esquema comparativo de pruebas. Línea en el registro de uso de IA.
Refuerza con: MINSAL (https://www.salud.gob.sv)
→ PISA E4 · TIMSS Aplicar</t>
    </r>
  </si>
  <si>
    <t>Conocer: describir la fotofosforilación cíclica y no cíclica. Aplicar: representar con un modelo</t>
  </si>
  <si>
    <t>Uso ético de la información
Difunde solo información de salud verificada en fuentes oficiales y científicas.
↳ Se trabaja en la actividad digital (DigComp 1.2).</t>
  </si>
  <si>
    <t>Esquema de la membrana tilacoidal rotulado y cuadro comparativo con la cadena mitocondrial</t>
  </si>
  <si>
    <t>Oficial
Malla 11.° grado, U5 · 5.10</t>
  </si>
  <si>
    <t>2.15. Explica los procesos de fotofosforilación de la fotosíntesis.</t>
  </si>
  <si>
    <t>Mecanismos de acción de las sustancias antimicrobianas</t>
  </si>
  <si>
    <t>2.12. Exposición sobre los mecanismos de acción de las sustancias antimicrobianas más comunes.</t>
  </si>
  <si>
    <t>E1 · Recuerda la estructura de la célula procariota y eucariota y la aplica para ubicar los blancos de los antimicrobianos.</t>
  </si>
  <si>
    <r>
      <rPr>
        <rFont val="Arial"/>
        <color theme="1"/>
        <sz val="9.0"/>
      </rPr>
      <t>4.3 Cuidado del bienestar – Básico</t>
    </r>
    <r>
      <rPr>
        <rFont val="Arial"/>
        <color rgb="FF7030A0"/>
        <sz val="9.0"/>
      </rPr>
      <t xml:space="preserve">
Con la IA (DigComp 3.0, nivel real): CS1.2.10 – Intermedio: reconoce que la IA puede dar respuestas equivocadas que parecen ciertas y que quien la usa debe verificarlas.</t>
    </r>
  </si>
  <si>
    <t>E3 · Predice por qué la penicilina afecta a las bacterias pero no daña las células humanas, que carecen de pared de peptidoglucano.</t>
  </si>
  <si>
    <t>E4 · Construye un modelo que representa la acción de un antibiótico sobre la pared celular o los ribosomas bacterianos.</t>
  </si>
  <si>
    <t>I1 · Busca en la base de datos PDB la estructura de una proteína diana de un antibiótico o de un antimicótico azólico.</t>
  </si>
  <si>
    <t>E6 · Explica por qué conocer los mecanismos de acción ayuda a enfrentar la resistencia a los antimicrobianos en hospitales.</t>
  </si>
  <si>
    <t>Creatividad (Explorar)
Diseña una representación física o gráfica original del mecanismo de acción de un antibiótico o antimicótico.</t>
  </si>
  <si>
    <t>Conocer: describir mecanismos de acción. Aplicar: representar un mecanismo con un modelo</t>
  </si>
  <si>
    <t>Modelo del mecanismo de acción de un antibiótico o antimicótico con explicación escrita de su diana celular</t>
  </si>
  <si>
    <t>2.12. Representa uno de los mecanismos de acción general de los antibióticos o de los antimicóticos.</t>
  </si>
  <si>
    <r>
      <rPr>
        <rFont val="Arial"/>
        <color theme="1"/>
        <sz val="9.0"/>
      </rPr>
      <t>Organizar la sesión de simulación con pausas activas y ajustar el brillo de la pantalla para cuidar la vista y la postura.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Haz una tabla propia que compare la fotofosforilación y la fosforilación oxidativa: dónde ocurre, fuente de electrones, aceptor final y cómo se forma el gradiente de protones. Luego pídele a Gemini la misma tabla. Busca diferencias y decide quién tiene razón usando tu libro. Pregunta después: «¿Cómo cambia la producción de ATP en la fase luminosa con luz verde?» y compáralo con lo que sabes de los pigmentos.
Evidencia: Ficha «Yo pienso · La IA dice · Lo comprobé»: en «Yo pienso» tu tabla comparativa; en «La IA dice» su tabla rotulada «Respuesta de IA»; en «Lo comprobé» cada diferencia resuelta con la página de tu libro. Marca ✔/✘ cada dato de la IA y anota una línea en tu registro de uso de IA.
Refuerza con: PhET «Visión del color» (https://phet.colorado.edu/sims/html/color-vision/latest/color-vision_es.html)
→ PISA E3 · TIMSS Aplicar</t>
    </r>
  </si>
  <si>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</si>
  <si>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Convivir
Propone al equipo pausas acordadas durante la sesión y respeta el descanso de cada integrante.
↳ Se trabaja en la actividad digital (DigComp 4.3).</t>
  </si>
  <si>
    <t>Oficial
Malla 10.° grado, U7 · 7.15</t>
  </si>
  <si>
    <r>
      <rPr>
        <rFont val="Arial"/>
        <color theme="1"/>
        <sz val="9.0"/>
      </rPr>
      <t>Busca y filtra en la base de datos PDB estructuras de proteínas diana de antimicrobianos usando nombres científicos precisos.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Prepara un esquema propio del mecanismo de acción de penicilinas, tetraciclinas y antimicóticos (pared, ribosoma, membrana). Pídele a la IA: «Crea 6 preguntas de opción múltiple sobre mecanismos de acción de antimicrobianos, con sus respuestas». Resuélvelas sin ver respuestas y luego revisa con tu libro si las respuestas de la IA son correctas. La IA no recomienda tratamientos.
Evidencia: Esquema propio, las preguntas rotuladas «Respuesta de IA», tus respuestas y una columna «¿La clave de la IA era correcta? · Fuente». Declaración de uso de IA en tu exposición. Línea en el registro de uso de IA.
→ PISA E6 · TIMSS Aplicar</t>
    </r>
  </si>
  <si>
    <t>U3 - Eje integrador: sistemas</t>
  </si>
  <si>
    <t>Respeto al medio ambiente, entorno y territorio
Relaciona la llegada de residuos de antimicrobianos a ríos y suelos con la aparición de resistencia en el ambiente.</t>
  </si>
  <si>
    <t>Oficial
Malla 11.° grado, U5 · 5.12</t>
  </si>
  <si>
    <t>Los virus</t>
  </si>
  <si>
    <t>Estructura viral
Clasificación de los virus</t>
  </si>
  <si>
    <t>2.13. Caracterización de la estructura y clasificación de los virus según su material genético y su envoltura.</t>
  </si>
  <si>
    <t>E1 · Recuerda las características de los seres vivos y las aplica para discutir si un virus puede considerarse vivo.</t>
  </si>
  <si>
    <t>E3 · Predice qué partes de un virus serían blanco de un desinfectante que destruye lípidos, según tenga o no envoltura.</t>
  </si>
  <si>
    <t>E4 · Construye un modelo de un virus con cápside icosaédrica, ácido nucleico y envoltura, y lo compara con un bacteriófago.</t>
  </si>
  <si>
    <t>D4 · Interpreta una tabla de virus de importancia en El Salvador, como el dengue, el SARS-CoV-2 y el rotavirus, y los clasifica por su genoma.</t>
  </si>
  <si>
    <t>3. Anatomía y fisiología humana</t>
  </si>
  <si>
    <t>E6 · Explica por qué conocer la estructura de un virus orienta el diseño de vacunas y medidas de prevención.</t>
  </si>
  <si>
    <t>Sistema nervioso</t>
  </si>
  <si>
    <t>Creatividad (Reforzar)
Construye un modelo tridimensional original de un virus con materiales reutilizados y rotula cada estructura.</t>
  </si>
  <si>
    <t>Reflejos 
Sistema nervioso somático y autónomo</t>
  </si>
  <si>
    <t>Conocer: describir componentes virales. Aplicar: clasificar virus por genoma y envoltura</t>
  </si>
  <si>
    <t>Modelo tridimensional rotulado de un virus y tabla de clasificación de cinco virus de importancia sanitaria</t>
  </si>
  <si>
    <t>3.1. Indagación de los tipos de reflejos y las funciones corporales controladas por el sistema nervioso somático y autónomo.</t>
  </si>
  <si>
    <t>dentifica procesos fisiológicos involuntarios relacionados con la percepción del tiempo y los ritmos circadianos. Advierte posibles repercusiones en la salud debidas a alteraciones del sistema endocrino.</t>
  </si>
  <si>
    <t>2.13. Describe la estructura de un virus y lo clasifica según su tipo de ácido nucleico, su cápside y la presencia de envoltura.</t>
  </si>
  <si>
    <r>
      <rPr>
        <rFont val="Arial"/>
        <color theme="1"/>
        <sz val="9.0"/>
      </rPr>
      <t>5.3 Identificación de soluciones creativas con tecnologías digitales – Básico</t>
    </r>
    <r>
      <rPr>
        <rFont val="Arial"/>
        <color rgb="FF7030A0"/>
        <sz val="9.0"/>
      </rPr>
      <t xml:space="preserve">
Con la IA (DigComp 3.0, nivel real): CS1.2.13 – Intermedio: valora qué tan confiable es una fuente, teniendo en cuenta el papel de la IA.</t>
    </r>
  </si>
  <si>
    <t>Autocuidado de la salud mental como medio que contribuye a mantener el funcionamiento óptimo de los sistemas nervioso e inmunitario. Prevención del VIH/SIDA como enfermedad infectocontagiosa que afecta el sistema inmunológico.</t>
  </si>
  <si>
    <r>
      <rPr>
        <rFont val="Arial"/>
        <color theme="1"/>
        <sz val="9.0"/>
      </rPr>
      <t>Explora con un visor molecular en línea la estructura tridimensional de una cápside viral y captura vistas para comparar su simetría.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Construye una tabla de virus (influenza, VIH, dengue, papiloma, bacteriófago T4) clasificados por tipo de ácido nucleico, cápside y envoltura. Sube al cuaderno de NotebookLM fuentes sobre clasificación de Baltimore y pregúntale: «Clasifica estos virus según su material genético y si tienen envoltura, citando la fuente». Compara fila por fila y corrige solo con la cita.
Evidencia: Ficha «Yo pienso · La IA dice · Lo comprobé»: tu tabla, Respuesta de IA rotulada y tabla corregida con la fuente de cada fila; marca ✔ o ✘ en cada celda de la IA. Línea en el registro de uso de IA.
→ PISA E6 · TIMSS Aplicar</t>
    </r>
  </si>
  <si>
    <t>Uso ético de la información
Verifica la información sobre cada virus en fuentes científicas y sanitarias oficiales antes de incluirla.</t>
  </si>
  <si>
    <t>Nuevo (propuesta)
(complemento de la unidad oficial)</t>
  </si>
  <si>
    <t>E1 · Recuerda situaciones cotidianas como retirar la mano de un comal caliente o parpadear ante el polvo, y las reconoce como respuestas rápidas del sistema nervioso.</t>
  </si>
  <si>
    <t>D1 · Pregunta guía: «¿Por qué retiramos la mano de un objeto caliente antes de sentir dolor?».</t>
  </si>
  <si>
    <t>Ciclo lítico
Ciclo lisogénico</t>
  </si>
  <si>
    <t>E2 · Representa en un esquema el arco reflejo con receptor, neurona sensorial, interneurona, neurona motora y efector, y clasifica funciones corporales como somáticas o autónomas.</t>
  </si>
  <si>
    <t>2.14. Comparación de los ciclos de replicación viral lítico y lisogénico.</t>
  </si>
  <si>
    <t>D4 · Interpreta los tiempos de reacción de la prueba de la regla que cae, registrados de forma anónima con voluntarios, y concluye por qué una respuesta voluntaria es más lenta que un reflejo.</t>
  </si>
  <si>
    <t>E3 · Predice qué funciones corporales siguen ocurriendo durante el sueño y justifica cuáles dependen del sistema nervioso autónomo.</t>
  </si>
  <si>
    <t>Colaboración (Explorar)
Acuerda con su equipo cómo organizar la prueba de la regla con turnos, participación voluntaria y registro anónimo.</t>
  </si>
  <si>
    <t>E1 · Recuerda cómo se replica el ADN y cómo se sintetizan proteínas, y lo aplica a la maquinaria que un virus utiliza en la célula.</t>
  </si>
  <si>
    <t>Conocer: distinguir funciones somáticas y autónomas. Aplicar: representar el arco reflejo. Razonar: interpretar datos de tiempo de reacción</t>
  </si>
  <si>
    <t>Esquema del arco reflejo y tabla anónima de tiempos de reacción con conclusión</t>
  </si>
  <si>
    <t>E3 · Predice qué ocurrirá con un cultivo bacteriano cuando un bacteriófago lítico infecta a una sola célula.</t>
  </si>
  <si>
    <t>COMUNICACIÓN: Aplicar técnicas de registro, representación y síntesis de información con lenguaje científico, para comunicar sus hallazgos y conclusiones acerca de la anatomía, funcionamiento y medidas de autocuido de los sistemas nervioso, endocrino e inmunitario.</t>
  </si>
  <si>
    <t>E2 · Representa en un esquema comparativo las etapas de adsorción, penetración, síntesis, ensamblaje y liberación, e integración del profago.</t>
  </si>
  <si>
    <t>D4 · Interpreta una gráfica de crecimiento de un fago en un paso e identifica el período de latencia y el tamaño de la explosión.</t>
  </si>
  <si>
    <t>E3 · Justifica por qué un virus en ciclo lisogénico puede permanecer sin causar síntomas durante mucho tiempo.</t>
  </si>
  <si>
    <t>Pensamiento crítico (Explorar)
Contrasta las ventajas evolutivas de los ciclos lítico y lisogénico para el virus y argumenta cuál conviene en cada situación.</t>
  </si>
  <si>
    <t>3.1. Ejemplifica los tipos de reflejos y las funciones corporales controladas por el sistema nervioso somático y autónomo.</t>
  </si>
  <si>
    <t>Conocer: ordenar etapas de replicación. Razonar: comparar ciclos e interpretar una curva de crecimiento viral</t>
  </si>
  <si>
    <t>Esquema comparativo de los ciclos lítico y lisogénico con interpretación de una curva de crecimiento de un fago</t>
  </si>
  <si>
    <t>El cuerpo humano regula sus funciones internas e interacciona con el entorno gracias a la actividad coordinada de los sistemas nervioso, endocrino e inmunitario. Cualquier alteración en ellos tiene un efecto directo sobre el funcionamiento completo del organismo y su capacidad de responder a estímulos o amenazas.</t>
  </si>
  <si>
    <t>2.14. Compara las etapas de los ciclos lítico y lisogénico y explica en qué condiciones un virus pasa de uno a otro.</t>
  </si>
  <si>
    <r>
      <rPr>
        <rFont val="Arial"/>
        <color theme="1"/>
        <sz val="9.0"/>
      </rPr>
      <t>4.2 Protección de datos personales y privacidad – Básico</t>
    </r>
    <r>
      <rPr>
        <rFont val="Arial"/>
        <color rgb="FF7030A0"/>
        <sz val="9.0"/>
      </rPr>
      <t xml:space="preserve">
Con la IA (DigComp 3.0, nivel real): CS4.3.04 – Básico: reconoce los límites de la IA para cuidar la salud y el bienestar.</t>
    </r>
  </si>
  <si>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</si>
  <si>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Registrar los tiempos de reacción en una hoja compartida con códigos anónimos, sin nombres ni datos personales de los participantes.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los tiempos de reacción anónimos de la prueba de la regla, calcula el promedio y escribe qué parte del sistema nervioso actúa. Predice qué funciones siguen ocurriendo mientras duermes. Pregúntale al cuaderno NotebookLM: «¿Qué funciones controla el sistema nervioso autónomo y cuáles el somático?». Compara con tu predicción. No escribas nombres ni uses la IA para interpretar tu salud.
Evidencia: Ficha «Yo pienso · La IA dice · Lo comprobé»: en «Yo pienso» tu promedio y tu predicción; en «La IA dice» la lista rotulada «Respuesta de IA» con su fuente; en «Lo comprobé» una tabla «Función · Somático o autónomo» con tus correcciones. Marca ✔/✘ cada dato de la IA y anota una línea en tu registro de uso de IA.
→ PISA D4 · TIMSS Razonar</t>
    </r>
  </si>
  <si>
    <t>Uso ético de la información
Maneja los datos del grupo de forma anónima y solo con fines de aprendizaje, respetando la participación voluntaria.
↳ Se trabaja en la actividad digital (DigComp 4.2).</t>
  </si>
  <si>
    <r>
      <rPr>
        <rFont val="Arial"/>
        <color theme="1"/>
        <sz val="9.0"/>
      </rPr>
      <t>Programa en una hoja de cálculo un algoritmo sencillo con condicionales que simula cuántos fagos se liberan en varias generaciones.</t>
    </r>
    <r>
      <rPr>
        <rFont val="Arial"/>
        <color rgb="FF7030A0"/>
        <sz val="9.0"/>
      </rPr>
      <t xml:space="preserve">
IA (Explicar · el estudiante, solo o en pareja).
Herramienta y medio: Gemini (gemini.google.com) con tu cuenta institucional, en el celular, la tableta o la computadora del CRA. Sin internet: usa la respuesta de IA impresa en tu ficha.
Actividad: Dibuja en dos columnas los pasos del ciclo lítico y del lisogénico de un bacteriófago. Pídele a la IA: «Explica el ciclo lisogénico» y luego «¿Estás seguro? Creo que en el ciclo lisogénico la célula se destruye de inmediato». Observa si la IA corrige tu afirmación falsa o te da la razón. Contrasta con tu libro de texto.
Evidencia: Ficha «Yo pienso · La IA dice · Lo comprobé»: tu diagrama comparativo, ambas Respuestas de IA rotuladas y una nota: «¿La IA mantuvo la respuesta correcta o cedió?». Línea en el registro de uso de IA.
→ PISA E2 · TIMSS Aplicar</t>
    </r>
  </si>
  <si>
    <t>Las unidades de medida a emplear son las estandarizadas por el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de iones inorgánicos deberán ser compatibles con las disposiciones de la IUPAC.^3, 4, 5</t>
  </si>
  <si>
    <t>Convivir
Colabora con su compañero de programación, alternando el uso del teclado y explicando sus decisiones.
↳ Se trabaja en la actividad digital (DigComp 3.4).</t>
  </si>
  <si>
    <t>Oficial
Malla 10.° grado, U8 · 8.1</t>
  </si>
  <si>
    <t>Bacteriófagos y fagoterapia
Vectores virales y vacunas de vector</t>
  </si>
  <si>
    <t>2.15. Análisis del uso de bacteriófagos y vectores virales en la biotecnología médica.</t>
  </si>
  <si>
    <t>Estructura y funciones de las neuronas y neuroglias</t>
  </si>
  <si>
    <t>3.2. Construcción de modelos de células nerviosas ajustados a sus funciones.</t>
  </si>
  <si>
    <t>E6 · Reflexiona sobre cómo la resistencia a los antibióticos ha llevado a buscar tratamientos alternativos con virus que atacan bacterias.</t>
  </si>
  <si>
    <t>E1 · Recuerda lo estudiado sobre la célula animal y reconoce que las neuronas y las neuroglias son células especializadas del tejido nervioso.</t>
  </si>
  <si>
    <t>D1 · Pregunta guía: «¿Cómo puede un virus convertirse en una herramienta para curar infecciones o fabricar vacunas?».</t>
  </si>
  <si>
    <t>E5 · Formula una hipótesis sobre por qué algunas neuronas tienen axones de más de un metro de longitud y muchas ramificaciones dendríticas.</t>
  </si>
  <si>
    <t>E4 · Utiliza un modelo de vacuna de vector viral que muestra cómo un adenovirus no replicativo transporta el gen de un antígeno.</t>
  </si>
  <si>
    <t>E4 · Construye un modelo de neurona con dendritas, soma, axón, vaina de mielina, nódulos de Ranvier y botones sinápticos, o un modelo de astrocito u oligodendrocito.</t>
  </si>
  <si>
    <t>I1 · Busca estudios clínicos confiables sobre fagoterapia y vacunas de vector y resume sus resultados y limitaciones.</t>
  </si>
  <si>
    <t>D3 · Evalúa los modelos de otros equipos con una rúbrica que verifica proporción, rotulación y relación entre estructura y función.</t>
  </si>
  <si>
    <t>I5 · Justifica ventajas y riesgos de la fagoterapia frente a los antibióticos en el tratamiento de bacterias multirresistentes.</t>
  </si>
  <si>
    <t>E3 · Predice cómo afecta la pérdida de mielina, como ocurre en la esclerosis múltiple, a la velocidad de conducción y justifica con su modelo.</t>
  </si>
  <si>
    <t>Colaboración (Aproximar)
Reparte con su equipo la lectura de casos de fagoterapia y de vacunas de vector para construir un panorama común.</t>
  </si>
  <si>
    <t>Creatividad (Explicar)
Diseña un modelo original con materiales reutilizados que represente fielmente la relación entre estructura y función de la célula nerviosa.</t>
  </si>
  <si>
    <t>Conocer: identificar estructuras de la neurona y la neuroglia. Aplicar: construir un modelo</t>
  </si>
  <si>
    <t>Modelo tridimensional de neurona o neuroglia rotulado con ficha de funciones de cada estructura</t>
  </si>
  <si>
    <t>Conocer: describir aplicaciones biotecnológicas de los virus. Razonar: evaluar ventajas y riesgos</t>
  </si>
  <si>
    <t>3.2. Construye un modelo de neurona o neuroglia ajustado a su anatomía celular y funciones principales.</t>
  </si>
  <si>
    <t>Informe breve sobre fagoterapia y vacunas de vector con ventajas, riesgos y fuentes científicas citadas</t>
  </si>
  <si>
    <t>2.15. Explica el uso de bacteriófagos en la fagoterapia y de vectores virales en las vacunas de vector como aplicaciones biotecnológicas.</t>
  </si>
  <si>
    <r>
      <rPr>
        <rFont val="Arial"/>
        <color theme="1"/>
        <sz val="9.0"/>
      </rPr>
      <t>3.1 Desarrollo de contenidos digitales – Básico</t>
    </r>
    <r>
      <rPr>
        <rFont val="Arial"/>
        <color rgb="FF7030A0"/>
        <sz val="9.0"/>
      </rPr>
      <t xml:space="preserve">
Con la IA (DigComp 3.0, nivel real): CS3.1.08 – Intermedio: describe ventajas y límites de usar IA para crear contenidos.</t>
    </r>
  </si>
  <si>
    <r>
      <rPr>
        <rFont val="Arial"/>
        <color theme="1"/>
        <sz val="9.0"/>
      </rPr>
      <t>2.3 Participación ciudadana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</si>
  <si>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Crear una ficha digital del modelo con fotografías propias rotuladas y una breve explicación de cada estructura.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Construye tu modelo de neurona o de célula glial con materiales del hogar y rotula sus partes. Evalúalo tú con la rúbrica (proporción, rótulos, estructura y función). Luego toma una foto del modelo (sin personas) y pídele a Gemini: «Evalúa este modelo de neurona con esta rúbrica: …». Compara su evaluación con la tuya y decide qué mejora aplicar. Pregúntale también qué pasa con la conducción si falta mielina.
Evidencia: Ficha «Yo pienso · La IA dice · Lo comprobé»: en «Yo pienso» tu autoevaluación; en «La IA dice» su evaluación rotulada «Respuesta de IA»; en «Lo comprobé» la mejora aplicada y la declaración «Así usé la IA: … · Lo que revisé yo: …». Marca ✔/✘ cada dato de la IA y anota una línea en tu registro de uso de IA.
→ PISA E3 · TIMSS Aplicar</t>
    </r>
  </si>
  <si>
    <t>Respeto al medio ambiente, entorno y territorio
Construye el modelo con materiales reutilizados y separa los sobrantes para su reciclaje.</t>
  </si>
  <si>
    <t>Oficial
Malla 10.° grado, U8 · 8.2</t>
  </si>
  <si>
    <r>
      <rPr>
        <rFont val="Arial"/>
        <color theme="1"/>
        <sz val="9.0"/>
      </rPr>
      <t>Participa con información verificada en una campaña escolar digital sobre vacunación basada en datos oficiales del MINSAL.</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ventajas y riesgos que imaginas de usar bacteriófagos contra bacterias resistentes y de las vacunas de vector viral. Sube al cuaderno de NotebookLM dos artículos de divulgación científica confiables y pregúntale: «¿Qué ventajas y limitaciones tiene la fagoterapia frente a los antibióticos? Cita la fuente». Revisa si alguna afirmación de la IA no aparece en las fuentes.
Evidencia: Ficha «Yo pienso · La IA dice · Lo comprobé»: tu lista, Respuesta de IA rotulada y cuadro «Afirmación · Fuente y página · ¿Está en la fuente?». Línea en el registro de uso de IA.
→ PISA I1 · TIMSS Razonar</t>
    </r>
  </si>
  <si>
    <t>Convivir
Promueve un diálogo respetuoso sobre vacunación, escuchando dudas de la comunidad sin descalificar a nadie.
↳ Se trabaja en la actividad digital (DigComp 2.3).</t>
  </si>
  <si>
    <t>Sistema nervioso central y periférico</t>
  </si>
  <si>
    <t>3.3. Explicación de la anatomía general y funciones corporales reguladas por el sistema nervioso central y el sistema nervioso periférico.</t>
  </si>
  <si>
    <t>U3 - Eje integrador: tecnología</t>
  </si>
  <si>
    <t>E6 · Reconoce que los accidentes de tránsito en motocicleta causan con frecuencia lesiones craneoencefálicas y medulares en El Salvador.</t>
  </si>
  <si>
    <t>D1 · Pregunta guía: «¿Qué funciones se pierden cuando se lesiona la médula espinal a distintas alturas?».</t>
  </si>
  <si>
    <t>E2 · Interpreta un esquema del encéfalo, la médula espinal y los nervios craneales y raquídeos, y relaciona cada región con funciones como coordinación, memoria, lenguaje y respiración.</t>
  </si>
  <si>
    <t>I1 · Busca en fuentes oficiales de la OMS y del MINSAL datos sobre lesiones medulares y su prevención, y evalúa su vigencia.</t>
  </si>
  <si>
    <t>I5 · Justifica el uso del casco y del cinturón de seguridad con base en la función protectora del cráneo y la columna vertebral sobre el sistema nervioso central.</t>
  </si>
  <si>
    <t>Comunicación (Reforzar)
Elabora un mensaje de prevención con lenguaje científico claro dirigido a la comunidad educativa sobre la protección del sistema nervioso.</t>
  </si>
  <si>
    <t>Conocer: ubicar estructuras del sistema nervioso central y periférico. Aplicar: relacionar región y función</t>
  </si>
  <si>
    <t>3. Biotecnología vegetal y agroindustria</t>
  </si>
  <si>
    <t>Mapa anatómico del sistema nervioso central y periférico con funciones y mensaje de prevención fundamentado</t>
  </si>
  <si>
    <t>Introducción a la biotecnología vegetal</t>
  </si>
  <si>
    <t>3.3. Explica la anatomía general y las principales funciones corporales reguladas por el sistema nervioso central y el sistema nervioso periférico.</t>
  </si>
  <si>
    <t>3.1. Indagación del concepto y aplicaciones de la biotecnología vegetal.</t>
  </si>
  <si>
    <t>Investiga el funcionamiento de pruebas moleculares para la identificación de genotipos en plantas. Cuestiona sobre la síntesis de los ingredientes activos presentes en los agroquímicos.</t>
  </si>
  <si>
    <r>
      <rPr>
        <rFont val="Arial"/>
        <color theme="1"/>
        <sz val="9.0"/>
      </rPr>
      <t>2.5 Comportamiento digital – Básico</t>
    </r>
    <r>
      <rPr>
        <rFont val="Arial"/>
        <color rgb="FF7030A0"/>
        <sz val="9.0"/>
      </rPr>
      <t xml:space="preserve">
Con la IA (DigComp 3.0, nivel real): CS3.3.03 – Básico: reconoce que lo hecho con IA debe etiquetarse.</t>
    </r>
  </si>
  <si>
    <r>
      <rPr>
        <rFont val="Arial"/>
        <color theme="1"/>
        <sz val="9.0"/>
      </rPr>
      <t>Participar en el foro del aula virtual sobre prevención de lesiones del sistema nervioso aplicando normas de netiqueta y respeto.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qué protege el cráneo y la columna y qué funciones dependen del sistema nervioso central y del periférico. Agrega al cuaderno NotebookLM fichas de la OMS y del MINSAL sobre lesiones de la médula espinal y pregúntale: «¿Cómo se previenen las lesiones medulares y por qué son tan graves?». Revisa la fecha de cada fuente y prepara un cartel sobre casco y cinturón con la declaración de uso de IA.
Evidencia: Ficha «Yo pienso · La IA dice · Lo comprobé»: en «Yo pienso» tu esquema del SNC y SNP; en «La IA dice» la respuesta rotulada «Respuesta de IA»; en «Lo comprobé» el cartel con fuentes y fechas y «Así usé la IA: … · Lo que revisé yo: …». Marca ✔/✘ cada dato de la IA y anota una línea en tu registro de uso de IA.
Refuerza con: MINSAL (https://www.salud.gob.sv)
→ PISA I5 · TIMSS Aplicar</t>
    </r>
  </si>
  <si>
    <t>Conciencia en la diversidad de conocimientos y tecnologías asociadas a la investigación y producción agrícola moderna. Reflexión acerca del uso adecuado y responsable de la biotecnología y los agroquímicos.</t>
  </si>
  <si>
    <t>Convivir
Participa en el foro con respeto hacia las personas con discapacidad y usa un lenguaje inclusivo.
↳ Se trabaja en la actividad digital (DigComp 2.5).</t>
  </si>
  <si>
    <t>Oficial
Malla 10.° grado, U8 · 8.3</t>
  </si>
  <si>
    <t>Sistemas sensoriales</t>
  </si>
  <si>
    <t>Órganos receptores</t>
  </si>
  <si>
    <t>3.4. Reconocimiento del papel de los órganos receptores para percibir el entorno.</t>
  </si>
  <si>
    <t>E6 · Reflexiona sobre cómo el café, la caña de azúcar, el maíz y el frijol sostienen la economía y la alimentación de El Salvador.</t>
  </si>
  <si>
    <t>E1 · Recuerda los sentidos estudiados en grados anteriores y reconoce que cada órgano sensorial contiene receptores especializados.</t>
  </si>
  <si>
    <t>D1 · Pregunta guía: «¿Qué técnicas usan los agrónomos para obtener plantas más productivas y resistentes a plagas y sequía?».</t>
  </si>
  <si>
    <t>E1 · Aplica el concepto de biotecnología vegetal para distinguir técnicas tradicionales, como el injerto, de técnicas modernas, como el cultivo in vitro.</t>
  </si>
  <si>
    <t>D1 · Pregunta guía: «¿Cómo percibe el cuerpo el ruido del tráfico de San Salvador y qué ocurre si es excesivo?».</t>
  </si>
  <si>
    <t>I1 · Busca información fiable sobre aplicaciones de la biotecnología vegetal en instituciones salvadoreñas como el CENTA y las universidades.</t>
  </si>
  <si>
    <t>E1 · Explica cómo el ojo, el oído, la piel, la lengua y la nariz convierten estímulos del entorno en señales nerviosas y los clasifica según el tipo de estímulo.</t>
  </si>
  <si>
    <t>E6 · Explica cómo la biotecnología vegetal puede contribuir a la seguridad alimentaria del país frente al cambio climático.</t>
  </si>
  <si>
    <t>D4 · Mide con el sonómetro de phyphox los niveles de ruido en distintos puntos de la escuela y los compara con los valores de referencia de la OMS.</t>
  </si>
  <si>
    <t>Comunicación (Aproximar)
Comparte con la clase un ejemplo de planta de su entorno cuya producción depende de una técnica biotecnológica.</t>
  </si>
  <si>
    <t>E6 · Valora las implicaciones del ruido ambiental sobre la audición y propone medidas de protección auditiva para la comunidad educativa.</t>
  </si>
  <si>
    <t>Conocer: definir biotecnología vegetal. Aplicar: ejemplificar aplicaciones en cultivos salvadoreños</t>
  </si>
  <si>
    <t>Pensamiento crítico (Explorar)
Cuestiona si el tiempo de exposición es tan importante como la intensidad del ruido para el daño auditivo y busca argumentos.</t>
  </si>
  <si>
    <t>Mapa conceptual de la biotecnología vegetal con cinco aplicaciones ejemplificadas en cultivos del país</t>
  </si>
  <si>
    <t>Conocer: identificar receptores y su función. Aplicar: medir y comparar umbrales sensoriales</t>
  </si>
  <si>
    <t>Tabla de órganos receptores con tipo de estímulo y mapa de niveles de ruido del centro escolar</t>
  </si>
  <si>
    <t>CREATIVIDAD: Emplear sus propias adecuaciones tecnológicas o estrategias de experimentación vegetal para evidenciar procesos fisiológicos de las plantas, o implementar técnicas agrícolas modernas para el establecimiento y mejora de cultivos.</t>
  </si>
  <si>
    <t>3.4. Explica el papel de los órganos receptores para percibir el entorno.</t>
  </si>
  <si>
    <r>
      <rPr>
        <rFont val="Arial"/>
        <color theme="1"/>
        <sz val="9.0"/>
      </rPr>
      <t>2.3 Participación ciudadana a través de tecnologías digitales – Básico</t>
    </r>
    <r>
      <rPr>
        <rFont val="Arial"/>
        <color rgb="FF7030A0"/>
        <sz val="9.0"/>
      </rPr>
      <t xml:space="preserve">
Con la IA (DigComp 3.0, nivel real): CS1.2.08 – Intermedio: reconoce que los datos con que se entrena una IA influyen en qué tan confiable es.</t>
    </r>
  </si>
  <si>
    <t>3.1. Ejemplifica aplicaciones de la biotecnología vegetal.</t>
  </si>
  <si>
    <t>Conocer la estructura, fisiología y genética de las plantas ha permitido desarrollar o transferir técnicas y tecnologías que facilitan su manipulación y mejora en favor de una producción agrícola y forestal con mayor calidad, eficiencia y sostenibilidad.</t>
  </si>
  <si>
    <r>
      <rPr>
        <rFont val="Arial"/>
        <color theme="1"/>
        <sz val="9.0"/>
      </rPr>
      <t>Participar en una iniciativa escolar compartiendo el mapa de niveles de ruido medidos para proponer zonas de silencio.</t>
    </r>
    <r>
      <rPr>
        <rFont val="Arial"/>
        <color rgb="FF7030A0"/>
        <sz val="9.0"/>
      </rPr>
      <t xml:space="preserve">
IA (Indagar · el estudiante, solo o en pareja).
Herramienta y medio: app BirdNET (birdnet.cornell.edu) en el celular; funciona sin internet.
Actividad: Predice en qué punto de la escuela oirás más aves: el más ruidoso o el más tranquilo. Mide el ruido de cada punto con el sonómetro de phyphox y graba 5 minutos con BirdNET en cada uno. Compara cuántas especies detecta la IA en cada sitio. Explica con el oído como mecanorreceptor por qué el ruido tapa los cantos para ti y para la IA. No grabes conversaciones de personas.
Evidencia: Ficha «Yo pienso · La IA dice · Lo comprobé»: en «Yo pienso» tu predicción; en «La IA dice» las especies y su confianza rotuladas «Respuesta de IA»; en «Lo comprobé» tabla «Punto · dB · Especies detectadas» y tu explicación sobre los receptores del oído. Marca ✔/✘ cada dato de la IA y anota una línea en tu registro de uso de IA.
→ PISA D4 · TIMSS Razonar</t>
    </r>
  </si>
  <si>
    <t>Respeto al medio ambiente, entorno y territorio
Identifica las fuentes de contaminación acústica del entorno escolar y propone medidas para reducirlas.</t>
  </si>
  <si>
    <t>Oficial
Malla 10.° grado, U8 · 8.4</t>
  </si>
  <si>
    <t>Proceso de recepción de estímulo
Fotorreceptores 
Mecanorreceptores
Termorreceptores
Quimiorreceptores</t>
  </si>
  <si>
    <t>3.5. Experimentación con el proceso de recepción de estímulos a través de distintos órganos receptores.</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</si>
  <si>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</si>
  <si>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E1 · Recuerda experiencias como sentir fría el agua del mar al entrar y luego agradable, y las relaciona con la adaptación de los receptores.</t>
  </si>
  <si>
    <t>D1 · Pregunta guía: «¿Por qué la yema de los dedos distingue dos puntos cercanos que el dorso de la mano percibe como uno solo?».</t>
  </si>
  <si>
    <t>E2 · Sintetiza en un diagrama el proceso de recepción: estímulo, transducción, potencial de receptor, impulso nervioso e interpretación cortical, para foto-, mecano-, termo- y quimiorreceptores.</t>
  </si>
  <si>
    <t>D2 · Realiza con voluntarios la prueba de discriminación de dos puntos con clips y la prueba de la mancha ciega, registrando datos anónimos y sin probar ni oler sustancias.</t>
  </si>
  <si>
    <t>D3 · Evalúa las limitaciones de las pruebas realizadas, como la subjetividad de la respuesta, y propone cómo hacerlas más confiables.</t>
  </si>
  <si>
    <t>Comunicación (Indagar)
Presenta sus datos de discriminación de dos puntos en una gráfica comentada con conclusiones claras.</t>
  </si>
  <si>
    <t>Aplicar: registrar y graficar datos. Razonar: sintetizar un proceso y evaluar un método</t>
  </si>
  <si>
    <r>
      <rPr>
        <rFont val="Arial"/>
        <color theme="1"/>
        <sz val="9.0"/>
      </rPr>
      <t>Busca y filtra información sobre proyectos de biotecnología vegetal en sitios institucionales usando operadores de búsqueda.</t>
    </r>
    <r>
      <rPr>
        <rFont val="Arial"/>
        <color rgb="FF7030A0"/>
        <sz val="9.0"/>
      </rPr>
      <t xml:space="preserve">
IA (Aproximar · el estudiante, solo o en pareja).
Herramienta y medio: app Pl@ntNet (plantnet.org) en el celular o la tableta; muestra varias opciones con su porcentaje de confianza.
Actividad: Fotografía con Pl@ntNet cinco plantas de tu entorno que creas que tienen un uso biotecnológico (maíz, frijol, café, loroco, bálsamo). Revisa la especie que propone la IA y su nivel de certeza. Para cada una, escribe una pregunta: «¿Qué técnica biotecnológica podría mejorar esta planta?». Busca la respuesta en fuentes del CENTA.
Evidencia: Ficha «Yo pienso · La IA dice · Lo comprobé»: tu nombre común, especie según la IA con certeza rotulada «hecho con IA», y la aplicación biotecnológica con su fuente. Línea en el registro de uso de IA.
Refuerza con: CENTA (https://www.centa.gob.sv)
→ PISA E6 · TIMSS Conocer</t>
    </r>
  </si>
  <si>
    <t>Diagrama del proceso de recepción de estímulos y gráfica de umbrales de discriminación por zona corporal</t>
  </si>
  <si>
    <t>3.5. Sintetiza el proceso general de recepción de estímulos a través de distintos órganos receptores.</t>
  </si>
  <si>
    <t>Uso ético de la información
Cita correctamente las instituciones y los documentos de donde obtiene cada ejemplo de aplicación.
↳ Se trabaja en la actividad digital (DigComp 1.1).</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</si>
  <si>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</si>
  <si>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Para estandarizar la escritura correcta de taxa y nombres científicos se emplearán las siguientes reglamentaciones:
• Código Internacional de Nomenclatura para algas, hongos y plantas (ICBN, por sus siglas en inglés).^12
• Código Internacional de Nomenclatura de Bacterias (ICNB, por sus siglas en inglés).^13</t>
  </si>
  <si>
    <r>
      <rPr>
        <rFont val="Arial"/>
        <color theme="1"/>
        <sz val="9.0"/>
      </rPr>
      <t>Organizar en una hoja de cálculo los umbrales anónimos de discriminación de dos puntos por zona corporal y graficar sus promedios.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Haz con un compañero voluntario la prueba de discriminación de dos puntos con clips en la yema del dedo, el antebrazo y la espalda, y la prueba de la mancha ciega; anota los datos sin nombres. Antes, predice en qué zona notarás los dos puntos más juntos. Luego pregúntale a Gemini: «¿Por qué la sensibilidad táctil cambia según la zona de la piel?». Compara con tus datos y escribe dos limitaciones de tu prueba que la IA no mencionó.
Evidencia: Ficha «Yo pienso · La IA dice · Lo comprobé»: en «Yo pienso» tu predicción; en «La IA dice» la explicación rotulada «Respuesta de IA»; en «Lo comprobé» tabla anónima «Zona · Distancia mínima (mm)» y dos limitaciones de la prueba. Marca ✔/✘ cada dato de la IA y anota una línea en tu registro de uso de IA.
→ PISA D2 · TIMSS Razonar</t>
    </r>
  </si>
  <si>
    <t>Convivir
Respeta la decisión de quienes no desean participar en las pruebas y cuida el trato durante la actividad.</t>
  </si>
  <si>
    <t>Oficial
Malla 10.° grado, U8 · 8.5</t>
  </si>
  <si>
    <t>Potencial de acción
Sinapsis
Neurona sensorial y motora</t>
  </si>
  <si>
    <t>3.6. Simulación de los procesos fisiológicos de las neuronas sensoriales y motoras.</t>
  </si>
  <si>
    <t>Oficial
Malla 11.° grado, U6 · 6.1</t>
  </si>
  <si>
    <t>E1 · Recuerda cómo funciona un circuito eléctrico sencillo y lo compara con la transmisión de señales eléctricas en las neuronas.</t>
  </si>
  <si>
    <t>D1 · Pregunta guía: «¿Cómo viaja una señal desde la piel del pie hasta el encéfalo y de regreso a un músculo?».</t>
  </si>
  <si>
    <t>E4 · Explica con un modelo el potencial de reposo, la despolarización por entrada de Na⁺, la repolarización por salida de K⁺ y la sinapsis química mediante neurotransmisores.</t>
  </si>
  <si>
    <t>Anatomía vegetal</t>
  </si>
  <si>
    <t>D4 · Interpreta en la simulación «Neurona» de PhET el efecto de estimular el axón y concluye cómo se propaga el potencial de acción.</t>
  </si>
  <si>
    <t>3.2. Identificación de tejidos y células vegetales aplicando técnicas de tinción.</t>
  </si>
  <si>
    <t>E3 · Predice qué ocurre en una unión neuromuscular si se bloquea la liberación de acetilcolina y justifica con el modelo.</t>
  </si>
  <si>
    <t>Creatividad (Indagar)
Representa de forma original, con una historieta o dramatización, el recorrido de un impulso desde la neurona sensorial hasta la motora.</t>
  </si>
  <si>
    <t>Conocer: describir el potencial de acción y la sinapsis. Aplicar: usar un modelo</t>
  </si>
  <si>
    <t>E1 · Recuerda la organización de los tejidos vegetales vista en grados anteriores y la aplica a un corte de tallo o de raíz.</t>
  </si>
  <si>
    <t>Historieta del recorrido del impulso nervioso con gráfica rotulada del potencial de acción</t>
  </si>
  <si>
    <t>D1 · Pregunta guía: «¿Cómo podemos distinguir al microscopio los tejidos que transportan agua de los que almacenan almidón?».</t>
  </si>
  <si>
    <t>3.6. Representa un proceso fisiológico en el que participan las neuronas sensoriales o motoras.</t>
  </si>
  <si>
    <t>E1 · Aplica tinciones con lugol y azul de metileno en epidermis de cebolla, corte de tallo de apio y tubérculo de papa preparados por la docente.</t>
  </si>
  <si>
    <t>D4 · Identifica en sus preparaciones xilema, floema, parénquima y epidermis, y concluye qué función cumple cada tejido según su estructura.</t>
  </si>
  <si>
    <t>E3 · Predice qué tejido se teñiría de azul oscuro con lugol en un corte de semilla de maíz y justifica su predicción.</t>
  </si>
  <si>
    <r>
      <rPr>
        <rFont val="Arial"/>
        <color theme="1"/>
        <sz val="9.0"/>
      </rPr>
      <t>5.3 Identificación de soluciones creativas con tecnologías digitales – Básico</t>
    </r>
    <r>
      <rPr>
        <rFont val="Arial"/>
        <color rgb="FF7030A0"/>
        <sz val="9.0"/>
      </rPr>
      <t xml:space="preserve">
Con la IA (DigComp 3.0, nivel real): CS1.2.09 – Intermedio: reconoce que la IA a veces no puede explicar cómo llegó a su respuesta.</t>
    </r>
  </si>
  <si>
    <t>Colaboración (Explorar)
Reparte con su equipo la preparación de las muestras, la observación y el dibujo científico de cada tejido.</t>
  </si>
  <si>
    <t>Conocer: identificar tejidos y células vegetales. Aplicar: preparar y teñir cortes</t>
  </si>
  <si>
    <t>Láminas de dibujo científico y microfotografías rotuladas de tejidos vegetales teñidos con su función</t>
  </si>
  <si>
    <t>3.2. Identifica tejidos y células vegetales aplicando técnicas de tinción.</t>
  </si>
  <si>
    <r>
      <rPr>
        <rFont val="Arial"/>
        <color theme="1"/>
        <sz val="9.0"/>
      </rPr>
      <t>Usar la simulación «Neurona» de PhET para estimular el axón y registrar los cambios de Na⁺ y K⁺ durante el potencial de acción.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la secuencia del potencial de acción: reposo, despolarización, repolarización, y marca qué iones entran o salen. Predice qué pasa en la unión neuromuscular si se bloquea la liberación de acetilcolina. Pregúntale al cuaderno NotebookLM: «Explica la sinapsis entre una neurona motora y el músculo». Compara paso a paso con tu dibujo y corrige solo lo que la fuente citada respalde.
Evidencia: Ficha «Yo pienso · La IA dice · Lo comprobé»: en «Yo pienso» tu dibujo con los iones y tu predicción; en «La IA dice» la explicación rotulada «Respuesta de IA» con su fuente; en «Lo comprobé» tu dibujo corregido y la cita usada. Marca ✔/✘ cada dato de la IA y anota una línea en tu registro de uso de IA.
→ PISA E3 · TIMSS Aplicar</t>
    </r>
  </si>
  <si>
    <r>
      <rPr>
        <rFont val="Arial"/>
        <color theme="1"/>
        <sz val="9.0"/>
      </rPr>
      <t>5.1 Identificación y resolución de problemas técnicos – Básico</t>
    </r>
    <r>
      <rPr>
        <rFont val="Arial"/>
        <color rgb="FF7030A0"/>
        <sz val="9.0"/>
      </rPr>
      <t xml:space="preserve">
Con la IA (DigComp 3.0, nivel real): CS1.2.08 – Intermedio: reconoce que los datos con que se entrena una IA influyen en qué tan confiable es.</t>
    </r>
  </si>
  <si>
    <t>Uso ético de la información
Cita la simulación PhET de la Universidad de Colorado y su licencia abierta en su representación.</t>
  </si>
  <si>
    <t>Oficial
Malla 10.° grado, U8 · 8.6</t>
  </si>
  <si>
    <t>Respuesta endocrina</t>
  </si>
  <si>
    <t>Hormonas
Órganos diana</t>
  </si>
  <si>
    <t>3.7. Indagación de la importancia de las hormonas y el concepto de órgano diana.</t>
  </si>
  <si>
    <r>
      <rPr>
        <rFont val="Arial"/>
        <color theme="1"/>
        <sz val="9.0"/>
      </rPr>
      <t>Resuelve problemas de enfoque, brillo y balance de color al fotografiar las preparaciones con el teléfono acoplado al microscopio.</t>
    </r>
    <r>
      <rPr>
        <rFont val="Arial"/>
        <color rgb="FF7030A0"/>
        <sz val="9.0"/>
      </rPr>
      <t xml:space="preserve">
IA (Reforzar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Tras observar cortes de tallo y hoja teñidos (o imágenes de un atlas libre), dibuja e identifica epidermis, xilema, floema y parénquima. Entrena Teachable Machine con recortes de esos tejidos y prueba con imágenes nuevas. Antes, predice qué tejidos confundirá. Analiza: ¿necesita más ejemplos?, ¿influye la tinción?
Evidencia: Ficha «Yo pienso · La IA dice · Lo comprobé»: tu dibujo rotulado, matriz «Tejido real · Predicción del modelo» con el porcentaje de aciertos rotulada «hecho con IA» y explicación de las confusiones. Línea en el registro de uso de IA.
Refuerza con: Teachable Machine (https://teachablemachine.withgoogle.com)
→ PISA E3 · TIMSS Aplicar</t>
    </r>
  </si>
  <si>
    <t>Respeto al medio ambiente, entorno y territorio
Recoge los restos de colorantes en el recipiente indicado por la docente y nunca los vierte al desagüe.</t>
  </si>
  <si>
    <t>E1 · Recuerda los cambios corporales de la pubertad estudiados en grados anteriores y los reconoce como efectos de hormonas.</t>
  </si>
  <si>
    <t>D1 · Pregunta guía: «¿Cómo una hormona que viaja por toda la sangre actúa solo en ciertos órganos?».</t>
  </si>
  <si>
    <t>Oficial
Malla 11.° grado, U6 · 6.2</t>
  </si>
  <si>
    <t>E4 · Explica con un modelo de llave y cerradura que las hormonas actúan en las células diana con receptores específicos, y distingue hormonas hidrosolubles de liposolubles.</t>
  </si>
  <si>
    <t>I1 · Busca en fuentes de la OMS información sobre disruptores endocrinos presentes en algunos plaguicidas y evalúa la calidad de la evidencia presentada.</t>
  </si>
  <si>
    <t>I4 · Critica afirmaciones de redes sociales que atribuyen cualquier malestar a un «desequilibrio hormonal», señalando la falta de evidencia.</t>
  </si>
  <si>
    <t>Reproducción y mejoramiento vegetal</t>
  </si>
  <si>
    <t>Reproducción sexual y asexual en plantas de interés agrícola</t>
  </si>
  <si>
    <t>Pensamiento crítico (Explicar)
Analiza por qué una misma hormona puede producir respuestas distintas en diferentes órganos diana.</t>
  </si>
  <si>
    <t>3.4. Indagación de la importancia del tipo de reproducción en las plantas para la producción agrícola.</t>
  </si>
  <si>
    <t>Conocer: definir hormona y órgano diana. Aplicar: usar un modelo de acción hormonal</t>
  </si>
  <si>
    <t>Modelo explicativo de hormona y receptor con ficha sobre disruptores endocrinos y sus fuentes</t>
  </si>
  <si>
    <t>3.7. Explica la importancia de las hormonas y el concepto de órgano diana.</t>
  </si>
  <si>
    <t>E1 · Recuerda cómo se reproducen las plantas con flor y lo aplica a la producción de semillas de maíz y frijol.</t>
  </si>
  <si>
    <t>E3 · Predice qué pasaría con la uniformidad de un cafetal si se sembrara solo con semillas en lugar de plantas clonadas.</t>
  </si>
  <si>
    <t>E2 · Representa en un cuadro comparativo la reproducción sexual y asexual en café, caña de azúcar, plátano, yuca y mango.</t>
  </si>
  <si>
    <r>
      <rPr>
        <rFont val="Arial"/>
        <color theme="1"/>
        <sz val="9.0"/>
      </rPr>
      <t>1.1 Navegación, búsqueda y filtrado de información – Básico</t>
    </r>
    <r>
      <rPr>
        <rFont val="Arial"/>
        <color rgb="FF7030A0"/>
        <sz val="9.0"/>
      </rPr>
      <t xml:space="preserve">
Con la IA (DigComp 3.0, nivel real): CS4.3.04 – Básico: reconoce los límites de la IA para cuidar la salud y el bienestar.</t>
    </r>
  </si>
  <si>
    <t>I3 · Argumenta con datos por qué la caña de azúcar y el plátano se propagan asexualmente mientras el maíz se siembra por semilla.</t>
  </si>
  <si>
    <t>E6 · Explica los riesgos de la baja diversidad genética de los cultivos clonales frente a nuevas plagas y enfermedades.</t>
  </si>
  <si>
    <t>Pensamiento crítico (Explicar)
Evalúa ventajas y desventajas de cada tipo de reproducción para decidir cuál conviene a un cultivo determinado.</t>
  </si>
  <si>
    <t>Conocer: distinguir tipos de reproducción. Razonar: relacionarlos con la producción agrícola</t>
  </si>
  <si>
    <t>Cuadro comparativo de reproducción sexual y asexual en cinco cultivos salvadoreños con ventajas y riesgos</t>
  </si>
  <si>
    <t>3.4. Reconoce la importancia de la reproducción sexual y asexual de las plantas para la producción agrícola.</t>
  </si>
  <si>
    <r>
      <rPr>
        <rFont val="Arial"/>
        <color theme="1"/>
        <sz val="9.0"/>
      </rPr>
      <t>Buscar y filtrar en el sitio de la OMS documentos sobre disruptores endocrinos usando palabras clave y el filtro de idioma.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Copia, sin nombres de usuarios, una publicación que atribuya cualquier malestar a un «desequilibrio hormonal». Escribe tú qué es una hormona y qué es un órgano diana. Pregúntale a Gemini: «¿Puede una IA saber si una persona tiene un desequilibrio hormonal?» y luego «¿Qué evidencia haría falta para afirmarlo?». Revisa si la IA reconoce que no puede diagnosticar. Nunca escribas síntomas tuyos ni de tu familia.
Evidencia: Ficha «Yo pienso · La IA dice · Lo comprobé»: en «Yo pienso» tus definiciones y las fallas que ves en la publicación; en «La IA dice» sus respuestas rotuladas «Respuesta de IA»; en «Lo comprobé» si la IA aclaró sus límites y qué fuente oficial lo confirma. Marca ✔/✘ cada dato de la IA y anota una línea en tu registro de uso de IA.
Refuerza con: MINSAL (https://www.salud.gob.sv)
→ PISA I4 · TIMSS Aplicar</t>
    </r>
  </si>
  <si>
    <t>Respeto al medio ambiente, entorno y territorio
Relaciona el uso intensivo de plaguicidas en los cultivos con la exposición a disruptores endocrinos y propone prácticas que protejan el entorno.</t>
  </si>
  <si>
    <t>Oficial
Malla 10.° grado, U8 · 8.7</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</si>
  <si>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</si>
  <si>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Glándulas endocrinas</t>
  </si>
  <si>
    <t>3.8. Identificación de las principales respuestas endocrinas y las glándulas involucradas.</t>
  </si>
  <si>
    <t>E1 · Reconoce respuestas corporales como la sudoración en un día caluroso en La Unión o la sensación de hambre como resultado de señales hormonales.</t>
  </si>
  <si>
    <t>D1 · Pregunta guía: «¿Qué glándula y qué hormona intervienen cuando sube la glucosa en la sangre después de comer?».</t>
  </si>
  <si>
    <r>
      <rPr>
        <rFont val="Arial"/>
        <color theme="1"/>
        <sz val="9.0"/>
      </rPr>
      <t>Busca datos de superficie sembrada y producción de cultivos salvadoreños en estadísticas oficiales del sector agropecuario.</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Haz una tabla con cultivos salvadoreños (maíz, frijol, caña, plátano, yuca, café) y escribe si se propagan por semilla o de forma vegetativa y por qué importa para la producción. Luego pregúntale a la IA lo mismo. Comprueba cada caso con una fuente del CENTA o con un agricultor de tu familia y analiza ventajas y riesgos de la uniformidad genética.
Evidencia: Ficha «Yo pienso · La IA dice · Lo comprobé»: tu tabla, Respuesta de IA rotulada y columna «Fuente que lo confirma». Termina con «La IA acertó en… / se equivocó en…». Línea en el registro de uso de IA.
Refuerza con: CENTA (https://www.centa.gob.sv)
→ PISA I3 · TIMSS Razonar</t>
    </r>
  </si>
  <si>
    <t>E2 · Construye un mapa corporal que ubica hipotálamo, hipófisis, tiroides, paratiroides, suprarrenales, páncreas y gónadas con sus hormonas y respuestas principales.</t>
  </si>
  <si>
    <t>Convivir
Valora los conocimientos de los agricultores de su comunidad sobre la forma de propagar sus cultivos.</t>
  </si>
  <si>
    <t>E4 · Representa con un diagrama de retroalimentación negativa la regulación de la glucosa en la sangre por la insulina y el glucagón.</t>
  </si>
  <si>
    <t>I5 · Justifica, con base en la función del páncreas, la importancia de la actividad física y la alimentación equilibrada que recomienda el MINSAL para prevenir la diabetes tipo 2.</t>
  </si>
  <si>
    <t>Oficial
Malla 11.° grado, U6 · 6.4</t>
  </si>
  <si>
    <t>Colaboración (Reforzar)
Integra con su equipo un mapa endocrino colectivo en el que cada integrante aporta una glándula y revisa las de los demás.</t>
  </si>
  <si>
    <t>Conocer: ubicar glándulas y sus respuestas. Aplicar: representar la retroalimentación</t>
  </si>
  <si>
    <t>Mapa corporal de glándulas endocrinas con hormonas y diagrama de retroalimentación de la glucosa</t>
  </si>
  <si>
    <t>3.8. Ejemplifica las principales respuestas endocrinas y las glándulas involucradas.</t>
  </si>
  <si>
    <t>Técnicas de propagación vegetativa</t>
  </si>
  <si>
    <t>3.5. Experimentación con técnicas de propagación vegetativa.</t>
  </si>
  <si>
    <r>
      <rPr>
        <rFont val="Arial"/>
        <color theme="1"/>
        <sz val="9.0"/>
      </rPr>
      <t>2.4 Colaboración a través de tecnologías digitales – Básico</t>
    </r>
    <r>
      <rPr>
        <rFont val="Arial"/>
        <color rgb="FF7030A0"/>
        <sz val="9.0"/>
      </rPr>
      <t xml:space="preserve">
Con la IA (DigComp 3.0, nivel real): CS4.3.04 – Básico: reconoce los límites de la IA para cuidar la salud y el bienestar.</t>
    </r>
  </si>
  <si>
    <t>Ajuste al análisis TIMSS-PISA</t>
  </si>
  <si>
    <t>E1 · Recuerda la capacidad de los tallos para formar raíces adventicias y la aplica a la propagación de plantas del huerto escolar.</t>
  </si>
  <si>
    <t>E5 · Plantea una hipótesis sobre qué tipo de esqueje, apical o basal, formará raíces en menos días en plantas de camote o de coleo.</t>
  </si>
  <si>
    <t>E1 · Aplica técnicas de estaca, acodo e hijuelos en plantas del centro escolar siguiendo un procedimiento técnico escrito.</t>
  </si>
  <si>
    <r>
      <rPr>
        <rFont val="Arial"/>
        <color theme="1"/>
        <sz val="9.0"/>
      </rPr>
      <t>Construir de forma colaborativa en una pizarra digital del aula virtual el mapa de glándulas endocrinas con sus hormonas.</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un diagrama de retroalimentación negativa de la glucosa en sangre con el páncreas, la insulina, el glucagón y sus órganos diana. Luego pregúntale al cuaderno NotebookLM: «¿Cómo regulan la insulina y el glucagón la glucosa en la sangre?». Compara con tu diagrama: ¿coinciden las flechas y los órganos? Corrige con la fuente. No uses la IA para interpretar valores de glucosa de nadie.
Evidencia: Ficha «Yo pienso · La IA dice · Lo comprobé»: en «Yo pienso» tu diagrama; en «La IA dice» la explicación rotulada «Respuesta de IA» con su fuente; en «Lo comprobé» el diagrama corregido con cada cambio citado. Marca ✔/✘ cada dato de la IA y anota una línea en tu registro de uso de IA.
→ PISA E2 · TIMSS Aplicar</t>
    </r>
  </si>
  <si>
    <t>D2 · Propone un diseño que compare el enraizamiento de esquejes en agua y en sustrato, controlando longitud, luz y riego.</t>
  </si>
  <si>
    <t>Convivir
Respeta los aportes de cada integrante en la pizarra compartida y resuelve los desacuerdos con argumentos.
↳ Se trabaja en la actividad digital (DigComp 2.4).</t>
  </si>
  <si>
    <t>D3 · Evalúa si el número de esquejes y el tiempo de observación de su diseño permiten una conclusión confiable.</t>
  </si>
  <si>
    <t>Ajuste al «Analisis_Malla_Ciencias - PISA y TIMMS» (versión 3, 2 de octubre de 2026): la habilidad TIMSS tenía Razonar inflado y muy poco Conocer frente a la referencia TIMSS Advanced (30/40/30), que el análisis usa como aproximación para Química y Biología. Se reescribieron las etiquetas según lo que pide cada tema. 10.°: Conocer 15.5 → 28.1 %, Aplicar 39.0 → 42.4 %, Razonar 45.5 → 29.5 %. 11.°: 21.2 → 31.2 %, 35.3 → 39.9 %, 43.5 → 29.0 %. 61 etiquetas reescritas. No cambió ningún contenido.</t>
  </si>
  <si>
    <t>Colaboración (Indagar)
Organiza con su equipo un calendario de riego y observación de los esquejes y distribuye las mediciones diarias.</t>
  </si>
  <si>
    <t>Conocer: describir las etapas de una técnica de propagación vegetativa. Aplicar: ejecutar la técnica</t>
  </si>
  <si>
    <t>Informe técnico del procedimiento de propagación con tabla de enraizamiento, gráfica y evaluación del diseño</t>
  </si>
  <si>
    <t>Base curricular</t>
  </si>
  <si>
    <t>Oficial
Malla 10.° grado, U8 · 8.8</t>
  </si>
  <si>
    <t>3.5. Explica un procedimiento técnico de propagación vegetativa.</t>
  </si>
  <si>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</si>
  <si>
    <t>Respuestas a corto y largo plazo de las glándulas endocrinas</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</si>
  <si>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</si>
  <si>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t>3.9. Determinación de las respuestas a corto y largo plazo de las glándulas endocrinas ante estímulos del entorno.</t>
  </si>
  <si>
    <t>Estructura</t>
  </si>
  <si>
    <t>Una hoja por año, con las unidades en el orden de la base sugerida: 10.° grado tiene 8 unidades y 70 temas (3 unidades oficiales con 38 temas oficiales); 11.° grado tiene 8 unidades y 92 temas (5 unidades oficiales con 69 temas oficiales). La hoja «Mapa de unidades» resume el origen, la fuente y las superposiciones resueltas de cada unidad.</t>
  </si>
  <si>
    <t>E1 · Recuerda cómo reacciona el cuerpo ante un sismo, con aceleración del pulso y estado de alerta, y lo reconoce como una respuesta endocrina rápida.</t>
  </si>
  <si>
    <t>Unidades nuevas</t>
  </si>
  <si>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</si>
  <si>
    <r>
      <rPr>
        <rFont val="Arial"/>
        <color theme="1"/>
        <sz val="9.0"/>
      </rPr>
      <t>Registra en una hoja de cálculo el número y la longitud de raíces por día y genera una gráfica de enraizamiento por tratamiento.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Corta esquejes de una planta fácil (camote, verdolaga o coleo) y ponlos en agua, en tierra y en arena. Predice cuáles enraizarán primero y mide la longitud de raíces cada tres días. Luego sube al cuaderno de NotebookLM una ficha del CENTA sobre propagación vegetativa y pregúntale: «¿Qué factores favorecen el enraizamiento de esquejes? Cita la fuente». Explica tus resultados con lo que la fuente confirme.
Evidencia: Ficha «Yo pienso · La IA dice · Lo comprobé»: predicción, tabla y gráfica «Día · Longitud de raíz por sustrato» y Respuesta de IA rotulada con cita. Línea en el registro de uso de IA.
Refuerza con: CENTA (https://www.centa.gob.sv)
→ PISA D2 · TIMSS Razonar</t>
    </r>
  </si>
  <si>
    <t>Uso de los planeadores</t>
  </si>
  <si>
    <t>Respeto al medio ambiente, entorno y territorio
Trasplanta los esquejes enraizados al huerto o a áreas verdes del centro escolar en lugar de desecharlos.</t>
  </si>
  <si>
    <t>Los planeadores tienen formato colombiano (estándares y DBA). Se usaron solo el tema, el desempeño y los indicadores como detalle, redactados con el estilo de la malla salvadoreña y con las erratas corregidas. No se copió ningún DBA ni estándar.</t>
  </si>
  <si>
    <t>D1 · Pregunta guía: «¿En qué se diferencia la respuesta hormonal ante un susto de la que regula el crecimiento o el ciclo de sueño y vigilia?».</t>
  </si>
  <si>
    <t>Oficial
Malla 11.° grado, U6 · 6.5</t>
  </si>
  <si>
    <t>E1 · Explica la respuesta a corto plazo de la médula suprarrenal con adrenalina, la respuesta a largo plazo del eje hipotálamo-hipófisis-suprarrenal con cortisol y la regulación de la melatonina por la luz.</t>
  </si>
  <si>
    <t>Distribución horaria</t>
  </si>
  <si>
    <t>Herramientas de IA para Ciencias — Biología de Bachillerato (10.° y 11.°) — gratuitas (09/10/2026; reaplicada el 12/10/2026)</t>
  </si>
  <si>
    <t>I1 · Busca en fuentes oficiales información sobre cómo la luz de las pantallas por la noche altera la secreción de melatonina y el ritmo circadiano.</t>
  </si>
  <si>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</si>
  <si>
    <t>I2 · Distingue evidencia científica de opinión en publicaciones sobre el sueño y las pantallas, sin recoger datos personales de sueño de sus compañeros.</t>
  </si>
  <si>
    <t>Pensamiento crítico (Indagar)
Contrasta la información de distintas fuentes sobre la melatonina y decide cuáles están respaldadas por estudios.</t>
  </si>
  <si>
    <t>Progresión con grados anteriores</t>
  </si>
  <si>
    <t>Conocer: reconocer respuestas endocrinas a corto y largo plazo. Aplicar: comparar respuestas</t>
  </si>
  <si>
    <t>Mejoramiento genético de las plantas</t>
  </si>
  <si>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</si>
  <si>
    <t>3.6. Comparación entre el mejoramiento genético tradicional y contemporáneo de las plantas.</t>
  </si>
  <si>
    <t>Columnas agregadas</t>
  </si>
  <si>
    <t>Cuadro comparativo de respuestas endocrinas a corto y largo plazo con ejemplos y fuentes citadas</t>
  </si>
  <si>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</si>
  <si>
    <t>3.9. Reconoce respuestas a corto y largo plazo de las glándulas endocrinas ante estímulos del entorno.</t>
  </si>
  <si>
    <t>E6 · Reflexiona sobre cómo las variedades de café Pacas y Pacamara, obtenidas en El Salvador, cambiaron la caficultura del país.</t>
  </si>
  <si>
    <t>D1 · Pregunta guía: «¿En qué se diferencia un maíz mejorado por cruzamiento de un maíz modificado genéticamente o editado con CRISPR?».</t>
  </si>
  <si>
    <t>Referente TIMSS</t>
  </si>
  <si>
    <t>E2 · Representa en una línea de tiempo el paso de la selección tradicional a la hibridación, la transgénesis y la edición génica.</t>
  </si>
  <si>
    <r>
      <rPr>
        <rFont val="Arial"/>
        <color theme="1"/>
        <sz val="9.0"/>
      </rPr>
      <t>4.3 Cuidado del bienestar – Básico</t>
    </r>
    <r>
      <rPr>
        <rFont val="Arial"/>
        <color rgb="FF7030A0"/>
        <sz val="9.0"/>
      </rPr>
      <t xml:space="preserve">
Con la IA (DigComp 3.0, nivel real): CS1.2.13 – Intermedio: valora qué tan confiable es una fuente, teniendo en cuenta el papel de la IA.</t>
    </r>
  </si>
  <si>
    <t>TIMSS evalúa 4.° y 8.° grado; en Bachillerato sus dominios cognitivos (Conocer, Aplicar, Razonar) se usan como referente de exigencia, con predominio de Aplicar y Razonar. TIMSS Advanced (Física y Matemáticas avanzadas) es el marco internacional más cercano para Física.</t>
  </si>
  <si>
    <t>I1 · Busca estudios sobre variedades de frijol biofortificado y maíz tolerante a sequía desarrolladas para Centroamérica.</t>
  </si>
  <si>
    <t>I2 · Distingue evidencia científica de opiniones en debates públicos sobre cultivos transgénicos y editados genéticamente.</t>
  </si>
  <si>
    <t>Uso de IA</t>
  </si>
  <si>
    <t>Pensamiento crítico (Reforzar)
Analiza argumentos a favor y en contra de los cultivos modificados genéticamente e identifica cuáles se sustentan en evidencia.</t>
  </si>
  <si>
    <t>Conocer: describir técnicas de mejoramiento. Razonar: comparar métodos tradicionales y contemporáneos</t>
  </si>
  <si>
    <t>Cuadro comparativo de mejoramiento tradicional y contemporáneo con análisis de un debate sobre cultivos modificados</t>
  </si>
  <si>
    <r>
      <rPr>
        <rFont val="Arial"/>
        <color theme="1"/>
        <sz val="9.0"/>
      </rPr>
      <t>Configurar en su dispositivo el filtro de luz nocturna y un horario de desconexión digital como medida de cuidado del bienestar.</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tu hipótesis sobre cómo la luz de las pantallas por la noche afecta la melatonina y por qué sería una respuesta a largo plazo, distinta de la adrenalina ante un susto. Agrega al cuaderno NotebookLM fuentes oficiales sobre sueño y pantallas y pregúntale: «¿Qué dice la evidencia sobre luz nocturna y melatonina?». Separa en dos columnas lo que es evidencia y lo que es opinión. No registres horas de sueño tuyas ni de otras personas.
Evidencia: Ficha «Yo pienso · La IA dice · Lo comprobé»: en «Yo pienso» tu hipótesis; en «La IA dice» la respuesta rotulada «Respuesta de IA» con sus fuentes; en «Lo comprobé» tabla «Evidencia · Opinión» y tu tabla «Hormona · Glándula · Corto o largo plazo». Marca ✔/✘ cada dato de la IA y anota una línea en tu registro de uso de IA.
→ PISA I1 · TIMSS Razonar</t>
    </r>
  </si>
  <si>
    <t>3.6. Compara el mejoramiento genético vegetal tradicional con el contemporáneo.</t>
  </si>
  <si>
    <t>Respeto al medio ambiente, entorno y territorio
Relaciona la contaminación lumínica de las playas con la alteración de la anidación de las tortugas marinas en la costa salvadoreña.</t>
  </si>
  <si>
    <t>Oficial
Malla 10.° grado, U8 · 8.9</t>
  </si>
  <si>
    <r>
      <rPr>
        <rFont val="Arial"/>
        <color theme="1"/>
        <sz val="10.0"/>
      </rPr>
      <t>Los estudiantes no usan herramientas de IA directamente. Cuando se contrasta información, se verifica con fuentes científicas u oficiales.</t>
    </r>
    <r>
      <rPr>
        <rFont val="Arial"/>
        <color rgb="FF7030A0"/>
        <sz val="10.0"/>
      </rPr>
      <t xml:space="preserve">
Actualización IA (09/10/2026), por decisión del docente: esta nota queda reemplazada. Ahora los estudiantes sí usan IA y cada subcontenido tiene una actividad con IA pensada para que el estudiante la realice solo o en pareja (la directriz para el docente se elaborará después). Dejan evidencia en la ficha del cuaderno y en su registro de uso de IA; en los trabajos agregan la declaración de uso de IA («Así usé la IA: … · Lo que revisé yo: …»). Herramientas gratuitas usadas: NotebookLM (Gemini Notebook), Gemini (Google), Pl@ntNet, Seek (iNaturalist), Teachable Machine (Google), Global Nature Watch (antes Global Forest Watch), BirdNET (Cornell), Climate TRACE, Google Flood Hub. Gemini y NotebookLM se usan con la cuenta institucional (Google Workspace for Education); las demás no piden cuenta. Reglas: primero pienso, predigo o mido y después consulto la IA; compruebo lo que dice con mis datos, un simulador o una fuente oficial; rotulo lo hecho con IA; nunca escribo nombres, fotos de rostros ni datos de salud o genéticos; la IA no diagnostica ni decide qué mezclar, comer, tocar ni qué hacer en una emergencia; la uso con propósito porque gasta energía y agua. Sin internet: la ficha trae impresa la respuesta de la IA; BirdNET y Pl@ntNet funcionan sin conexión. Detalle en la hoja «Herramientas IA».</t>
    </r>
  </si>
  <si>
    <r>
      <rPr>
        <rFont val="Arial"/>
        <color theme="1"/>
        <sz val="9.0"/>
      </rPr>
      <t>1.2 Evaluación de la información – Básico</t>
    </r>
    <r>
      <rPr>
        <rFont val="Arial"/>
        <color rgb="FF7030A0"/>
        <sz val="9.0"/>
      </rPr>
      <t xml:space="preserve">
Con la IA (DigComp 3.0, nivel real): CS1.2.14 – Avanzado: examina de forma continua cómo la IA, los sesgos y distintos intereses influyen en la información.</t>
    </r>
  </si>
  <si>
    <t>Consumo y seguridad</t>
  </si>
  <si>
    <t>Sistema inmunitario</t>
  </si>
  <si>
    <t>Estructura y función
Inmunidad innata y adaptativa
Acción de las vacunas</t>
  </si>
  <si>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</si>
  <si>
    <t>3.10. Reconocimiento de los componentes y líneas de defensa del sistema inmunitario con relación a la respuesta innata y adaptativa.</t>
  </si>
  <si>
    <t>Datos personales</t>
  </si>
  <si>
    <t>No se recogen datos personales de salud, genéticos ni de medidas corporales con nombre. Se usan datos publicados, simulados o anónimos, con participación voluntaria.</t>
  </si>
  <si>
    <t>E6 · Reconoce la importancia del esquema nacional de vacunación del MINSAL para la salud colectiva en El Salvador.</t>
  </si>
  <si>
    <t>Hoja nueva: todo su contenido es parte de la intervención de IA. Las actividades están pensadas para que el estudiante las realice solo o en pareja; la directriz para el docente se elaborará después. Las condiciones de cada herramienta se revisaron el 09/10/2026 en sus sitios oficiales y pueden cambiar.</t>
  </si>
  <si>
    <t>D1 · Pregunta guía: «¿Cómo reconoce el cuerpo un microorganismo con el que ya tuvo contacto?».</t>
  </si>
  <si>
    <t>Conectividad</t>
  </si>
  <si>
    <t>E2 · Organiza en un esquema las barreras físicas, la inmunidad innata con fagocitos e inflamación, y la adaptativa con linfocitos B, anticuerpos, linfocitos T y memoria inmunológica.</t>
  </si>
  <si>
    <t>Requieren conexión o descarga previa: simuladores PhET, GeoGebra, Tracker, bases de datos científicas y portales oficiales (MARN, SNET, MINSAL). phyphox y las hojas de cálculo funcionan sin conexión.</t>
  </si>
  <si>
    <t>E4 · Modela con tarjetas la respuesta primaria y secundaria a un antígeno e interpreta una gráfica de concentración de anticuerpos para explicar el efecto de una vacuna.</t>
  </si>
  <si>
    <r>
      <rPr>
        <rFont val="Arial"/>
        <color theme="1"/>
        <sz val="9.0"/>
      </rPr>
      <t>Evalúa la fiabilidad de dos fuentes sobre cultivos transgénicos revisando autoría, financiamiento, evidencia y fecha de publicación.</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una comparación entre el mejoramiento tradicional (selección de maíz criollo) y el contemporáneo (marcadores, transgénicos, edición). Haz a la IA dos preguntas: «¿Por qué los transgénicos son la mejor opción para El Salvador?» y «¿Por qué los maíces criollos son la mejor opción para El Salvador?». Compara cómo cambia la respuesta según la forma de preguntar y busca qué intereses hay detrás de cada postura.
Evidencia: Ficha «Yo pienso · La IA dice · Lo comprobé»: tu comparación, ambas Respuestas de IA rotuladas y un análisis «Lo que cambió según la pregunta · Posibles sesgos · Fuente que consulté». Línea en el registro de uso de IA.
Refuerza con: CENTA (https://www.centa.gob.sv)
→ PISA I2 · TIMSS Aplicar</t>
    </r>
  </si>
  <si>
    <t>Ubicación de unidades oficiales</t>
  </si>
  <si>
    <t>I4 · Identifica fallas en argumentos antivacunas difundidos en redes sociales usando la evidencia de la OMS y del MINSAL.</t>
  </si>
  <si>
    <t>Creatividad (Aproximar)
Crea una analogía original del sistema inmunitario, como la defensa de una ciudad, para introducir las líneas de defensa.</t>
  </si>
  <si>
    <t>Conocer: identificar componentes y líneas de defensa. Aplicar: interpretar una gráfica de respuesta inmunitaria</t>
  </si>
  <si>
    <t>Uso ético de la información
Diferencia hechos de opiniones al compartir información sobre mejoramiento genético de plantas.
↳ Se trabaja en la actividad digital (DigComp 1.2).</t>
  </si>
  <si>
    <t>Coincide con la malla oficial: «Biomoléculas», «Biología celular» y «Anatomía y fisiología humana» en 10.°; «Ecología y ambiente», «Biotecnología microbiana», «Biotecnología vegetal y agroindustria», «Bases genéticas de la evolución» y «Análisis de biodiversidad» en 11.°. El orden dentro de cada año sigue la base sugerida.</t>
  </si>
  <si>
    <t>Esquema de las líneas de defensa y gráfica interpretada de las respuestas inmunitarias primaria y secundaria</t>
  </si>
  <si>
    <t>Unidades nuevas sin planeador</t>
  </si>
  <si>
    <t>Oficial
Malla 11.° grado, U6 · 6.6</t>
  </si>
  <si>
    <t>3.10. Explica brevemente los componentes y líneas de defensa del sistema inmunitario en relación con la respuesta innata y adaptativa.</t>
  </si>
  <si>
    <t>Biología no tiene planeador: las ocho unidades nuevas de la base sugerida son propuesta de esta malla, con todos los elementos de la malla oficial. La unidad oficial «Biotecnología microbiana» se nombra «… y los virus», como en la base sugerida, y suma tres temas propuestos sobre virus (estructura y clasificación, ciclos lítico y lisogénico, fagos y vectores virales).</t>
  </si>
  <si>
    <r>
      <rPr>
        <rFont val="Arial"/>
        <color theme="1"/>
        <sz val="9.0"/>
      </rPr>
      <t>1.2 Evaluación de la información – Básico</t>
    </r>
    <r>
      <rPr>
        <rFont val="Arial"/>
        <color rgb="FF7030A0"/>
        <sz val="9.0"/>
      </rPr>
      <t xml:space="preserve">
Con la IA (DigComp 3.0, nivel real): CS1.2.14 – Avanzado: examina de forma continua cómo la IA, los sesgos y distintos intereses influyen en la información.</t>
    </r>
  </si>
  <si>
    <t>Nutrición de las plantas</t>
  </si>
  <si>
    <t>Superposiciones resueltas (10.°)</t>
  </si>
  <si>
    <t>Nutrición y fertilizantes vegetales</t>
  </si>
  <si>
    <t>3.7. Indagación en el proceso de nutrición de las plantas y el papel de los fertilizantes.</t>
  </si>
  <si>
    <t>«Genética moderna» no repite los cruces mendelianos de 7.° ni los dihíbridos y frecuencias de 11.°: trabaja herencia no mendeliana, ligada al sexo, genealogías, ligamiento y mapas, genética humana y genómica. «Evolución» se centra en la historia de las ideas y las evidencias; los mecanismos quedan en 11.°. «Termodinámica y sistemas vivos» y «Química de los seres vivos» profundizan cuantitativamente lo que la unidad oficial «Biología celular» presenta (ΔG y ATP, tasa metabólica, glucólisis, Krebs, Calvin, C3/C4/CAM); en Biología celular los ciclos no se detallan. «Ciclos biogeoquímicos en la Tierra» trata cada ciclo con reservorios y flujos; en 11.° los indicadores oficiales 8.2–8.3 se trabajan como integración en un ecosistema salvadoreño.</t>
  </si>
  <si>
    <r>
      <rPr>
        <rFont val="Arial"/>
        <color theme="1"/>
        <sz val="9.0"/>
      </rPr>
      <t>Evaluar la fiabilidad de dos fuentes digitales sobre vacunas comparando autoría, respaldo institucional y fecha, priorizando OMS y MINSAL.</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tú una gráfica de anticuerpos contra el tiempo con la respuesta primaria y la secundaria y explica por qué la segunda es mayor. Agrega al cuaderno NotebookLM fichas de la OMS y del MINSAL sobre vacunas y pregúntale: «¿Cómo produce memoria inmunitaria una vacuna?». Luego revisa con esas fuentes dos argumentos antivacunas de redes sociales y señala su falla.
Evidencia: Ficha «Yo pienso · La IA dice · Lo comprobé»: en «Yo pienso» tu gráfica y explicación; en «La IA dice» la respuesta rotulada «Respuesta de IA» con su fuente; en «Lo comprobé» cada argumento antivacunas con la evidencia oficial que lo refuta. Marca ✔/✘ cada dato de la IA y anota una línea en tu registro de uso de IA.
Refuerza con: MINSAL (https://www.salud.gob.sv)
→ PISA I4 · TIMSS Aplicar</t>
    </r>
  </si>
  <si>
    <t>E1 · Recuerda lo visto sobre fotosíntesis y transporte en plantas y lo aplica a la absorción de agua y minerales por la raíz.</t>
  </si>
  <si>
    <t>Superposiciones resueltas (11.°)</t>
  </si>
  <si>
    <t>Uso ético de la información
Evita compartir información no verificada sobre vacunas y cita las fuentes oficiales consultadas.
↳ Se trabaja en la actividad digital (DigComp 1.2).</t>
  </si>
  <si>
    <t>E3 · Predice qué síntomas mostraría una planta de maíz con deficiencia de nitrógeno y cuáles con deficiencia de potasio.</t>
  </si>
  <si>
    <t>1. CÓMO USO LA IA (reglas para el estudiante)</t>
  </si>
  <si>
    <t>Oficial
Malla 10.° grado, U8 · 8.10</t>
  </si>
  <si>
    <t>E1 · Aplica la clasificación de macronutrientes y micronutrientes para interpretar la fórmula N-P-K en imágenes de etiquetas de fertilizantes.</t>
  </si>
  <si>
    <t>«Microevolución y adaptaciones» modela con Hardy-Weinberg, deriva y selección con datos, sin repetir las fuerzas evolutivas de 7.° ni los cálculos de frecuencias de la unidad oficial. La transferencia genética horizontal (oficial 3.14) se ve como mecanismo; la evolución de la resistencia se analiza en «Microevolución». «Dinámica de poblaciones» profundiza la dinámica elemental de 7.° con modelos (logístico, tablas de vida, Lotka-Volterra). «Mecánica de fluidos en los seres vivos» aplica lo visto en Física 10.°.</t>
  </si>
  <si>
    <t>D4 · Interpreta fotografías de hojas con síntomas de deficiencia y concluye qué nutriente falta en cada caso.</t>
  </si>
  <si>
    <t>Coordinación con Química</t>
  </si>
  <si>
    <t>E6 · Explica cómo el exceso de fertilizantes nitrogenados contamina ríos y acuíferos y afecta los ecosistemas acuáticos.</t>
  </si>
  <si>
    <t>Química 11.° trabaja la química estructural de carbohidratos, lípidos, proteínas y ácidos nucleicos (proyecciones, enlaces, saponificación, punto isoeléctrico, enlace fosfodiéster); Biología conserva función, clasificación y metabolismo.</t>
  </si>
  <si>
    <t>Impactos del estrés y del sueño en las respuestas inmunitarias</t>
  </si>
  <si>
    <t>Comunicación (Explicar)
Resume en un organizador gráfico claro el proceso de nutrición vegetal y el papel de cada tipo de fertilizante.</t>
  </si>
  <si>
    <t>3.11. Exploración de los impactos del estrés y del sueño en las respuestas inmunitarias.</t>
  </si>
  <si>
    <t>Bioseguridad</t>
  </si>
  <si>
    <t>Conocer: clasificar nutrientes. Aplicar: interpretar fórmulas de fertilizantes</t>
  </si>
  <si>
    <t>Solo microorganismos inocuos (levadura, cultivos del yogur); placas selladas que no se abren y que la docente esteriliza antes de desecharlas; no se cultivan muestras del cuerpo ni del ambiente. Extracciones con materiales caseros; el alcohol y los reactivos los dispensa la docente. Agroquímicos: solo lectura de etiquetas y fichas de seguridad. Sin muestras humanas; tipificación sanguínea con sangre artificial.</t>
  </si>
  <si>
    <t>Resumen gráfico de la nutrición vegetal con tabla de nutrientes, síntomas de deficiencia y lectura de fórmulas N-P-K</t>
  </si>
  <si>
    <t>E6 · Reconoce que el estrés académico y la falta de sueño son situaciones frecuentes en la adolescencia que influyen en la salud.</t>
  </si>
  <si>
    <t>Datos a verificar</t>
  </si>
  <si>
    <t>E5 · Formula una hipótesis sobre por qué las personas se enferman con más frecuencia en épocas de exámenes o de poco descanso.</t>
  </si>
  <si>
    <t>1</t>
  </si>
  <si>
    <t>3.7. Resume el proceso de nutrición de las plantas incluyendo el papel de los fertilizantes en este.</t>
  </si>
  <si>
    <t>E1 · Explica cómo el cortisol elevado de forma prolongada disminuye la actividad de los linfocitos y cómo el sueño favorece la producción de citocinas y la memoria inmunológica.</t>
  </si>
  <si>
    <t>Antes de publicar conviene confirmar algunos datos de contexto propuestos: el nombre común «ixcanal» para Vachellia collinsii, la disponibilidad de datos publicados de los viveros de tortugas marinas de El Salvador y la resistencia de Aedes aegypti a insecticidas en la región.</t>
  </si>
  <si>
    <t>Primero pienso, predigo o mido; después consulto la IA. La IA propone y la evidencia decide.</t>
  </si>
  <si>
    <t>D4 · Interpreta datos publicados de estudios sobre horas de sueño y respuesta a vacunas, y concluye la relación sin recoger datos personales de salud de los estudiantes.</t>
  </si>
  <si>
    <t>I5 · Justifica con la evidencia analizada estrategias de autocuidado de la salud mental recomendadas por el MINSAL y la OMS, como la higiene del sueño y las pausas activas.</t>
  </si>
  <si>
    <t>Colaboración (Indagar)
Elabora con su equipo una guía de autocuidado basada en evidencia, acordando qué recomendaciones incluir y cómo citarlas.</t>
  </si>
  <si>
    <r>
      <rPr>
        <rFont val="Arial"/>
        <color theme="1"/>
        <sz val="9.0"/>
      </rPr>
      <t>5.2 Identificación de necesidades y respuestas tecnológicas – Básico</t>
    </r>
    <r>
      <rPr>
        <rFont val="Arial"/>
        <color rgb="FF7030A0"/>
        <sz val="9.0"/>
      </rPr>
      <t xml:space="preserve">
Con la IA (DigComp 3.0, nivel real): CS1.2.13 – Intermedio: valora qué tan confiable es una fuente, teniendo en cuenta el papel de la IA.</t>
    </r>
  </si>
  <si>
    <t>Aplicar: interpretar datos publicados. Razonar: justificar decisiones de autocuidado</t>
  </si>
  <si>
    <t>Guía de autocuidado con fundamentos inmunológicos y referencias a fuentes oficiales</t>
  </si>
  <si>
    <t>3.11. Describe los impactos del estrés y del sueño en las respuestas inmunitarias.</t>
  </si>
  <si>
    <t>2</t>
  </si>
  <si>
    <r>
      <rPr>
        <rFont val="Arial"/>
        <color theme="1"/>
        <sz val="9.0"/>
      </rPr>
      <t>3.2 Integración y reelaboración de contenidos digitales – Básico</t>
    </r>
    <r>
      <rPr>
        <rFont val="Arial"/>
        <color rgb="FF7030A0"/>
        <sz val="9.0"/>
      </rPr>
      <t xml:space="preserve">
Con la IA (DigComp 3.0, nivel real): CS4.3.04 – Básico: reconoce los límites de la IA para cuidar la salud y el bienestar.</t>
    </r>
  </si>
  <si>
    <t>Todo lo que dice la IA lo compruebo con mis datos, un simulador o fuentes oficiales (MARN, Observatorio de Amenazas, ANDA, Protección Civil, MINSAL, CENTA). La IA puede equivocarse aunque suene segura.</t>
  </si>
  <si>
    <r>
      <rPr>
        <rFont val="Arial"/>
        <color theme="1"/>
        <sz val="9.0"/>
      </rPr>
      <t>Identifica qué herramienta digital responde mejor a la necesidad de calcular la cantidad de nutrientes que aporta un fertilizante.</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Siembra frijol en tres vasos: tierra sola, tierra con abono orgánico casero y arena. Predice cuál crecerá más y por qué, relacionándolo con nitrógeno, fósforo y potasio. Mide altura y cuenta hojas amarillas cada semana. Sube al cuaderno de NotebookLM una guía del CENTA sobre fertilización y pregúntale: «¿Qué síntomas produce la falta de nitrógeno, fósforo y potasio en el frijol? Cita la fuente». Compara con tus plantas.
Evidencia: Ficha «Yo pienso · La IA dice · Lo comprobé»: predicción, tabla «Semana · Vaso · Altura · Hojas amarillas» y Respuesta de IA rotulada con cita. Línea en el registro de uso de IA.
Refuerza con: CENTA (https://www.centa.gob.sv)
→ PISA D4 · TIMSS Razonar</t>
    </r>
  </si>
  <si>
    <t>Respeto al medio ambiente, entorno y territorio
Valora la aplicación de fertilizantes en dosis adecuadas para evitar la contaminación de ríos y suelos.</t>
  </si>
  <si>
    <r>
      <rPr>
        <rFont val="Arial"/>
        <color theme="1"/>
        <sz val="9.0"/>
      </rPr>
      <t>Reelaborar en una guía digital recursos oficiales del MINSAL y la OMS sobre estrés y sueño, integrando sus gráficas con la fuente indicada.</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Lee un resumen publicado sobre horas de sueño y respuesta a vacunas y escribe tu conclusión. Luego pregúntale a Gemini: «¿Qué relación hay entre el estrés, el sueño y la respuesta inmunitaria según la evidencia?». Busca en fuentes de la OMS o del MINSAL cada afirmación y marca las que no encuentres. No le cuentes a la IA tu sueño, tu estrés ni tu salud: no da consejos de salud.
Evidencia: Ficha «Yo pienso · La IA dice · Lo comprobé»: en «Yo pienso» tu conclusión del estudio; en «La IA dice» su respuesta rotulada «Respuesta de IA»; en «Lo comprobé» tabla «Afirmación · Fuente oficial · ¿Encontrada?». Marca ✔/✘ cada dato de la IA y anota una línea en tu registro de uso de IA.
Refuerza con: MINSAL (https://www.salud.gob.sv)
→ PISA D4 · TIMSS Razonar</t>
    </r>
  </si>
  <si>
    <t>Respeto al medio ambiente, entorno y territorio
Valora las áreas naturales, como el Parque Nacional El Imposible o los parques urbanos, como espacios que ayudan a reducir el estrés y promueve su cuidado.</t>
  </si>
  <si>
    <t>Oficial
Malla 11.° grado, U6 · 6.7</t>
  </si>
  <si>
    <t>Oficial
Malla 10.° grado, U8 · 8.11</t>
  </si>
  <si>
    <t>Técnicas de cultivo según el sustrato</t>
  </si>
  <si>
    <t>Enfermedades del sistema inmunitario</t>
  </si>
  <si>
    <t>3.12. Investigación de las enfermedades que afectan el sistema inmunitario y sus consecuencias.</t>
  </si>
  <si>
    <t>3</t>
  </si>
  <si>
    <t>3.8. Experimentación con técnicas de cultivo de plantas en distintos sustratos.</t>
  </si>
  <si>
    <t>Lo hecho con IA lo rotulo «Respuesta de IA» o «hecho con IA» y lo declaro en mis trabajos.</t>
  </si>
  <si>
    <t>E1 · Recuerda lo estudiado en grados anteriores sobre infecciones de transmisión sexual y reconoce al VIH como un virus que ataca células del sistema inmunitario.</t>
  </si>
  <si>
    <t>D1 · Pregunta guía: «¿Por qué una persona con VIH sin tratamiento puede enfermar gravemente de infecciones que en otras personas son leves?».</t>
  </si>
  <si>
    <t>E1 · Recuerda las funciones del suelo para la planta y las aplica para decidir qué debe aportar un sustrato alternativo.</t>
  </si>
  <si>
    <t>E2 · Clasifica las enfermedades del sistema inmunitario en inmunodeficiencias, hipersensibilidades y enfermedades autoinmunes, y explica sus consecuencias en el organismo.</t>
  </si>
  <si>
    <t>E5 · Plantea una hipótesis sobre en qué sustrato crecerá más rápido una plántula de lechuga: fibra de coco, cascarilla de arroz o arena.</t>
  </si>
  <si>
    <t>I3 · Argumenta con datos de ONUSIDA y del MINSAL la importancia de la prevención, la prueba voluntaria y el tratamiento antirretroviral para frenar el VIH.</t>
  </si>
  <si>
    <t>E6 · Valora la no discriminación hacia las personas que viven con VIH o con enfermedades autoinmunes como parte de la salud pública.</t>
  </si>
  <si>
    <t>E1 · Aplica un procedimiento técnico para establecer plántulas en sustratos inertes regados con solución nutritiva preparada por la docente.</t>
  </si>
  <si>
    <t>Comunicación (Explicar)
Comunica en una infografía, con lenguaje científico y respetuoso, las diferencias entre inmunodeficiencias, alergias y autoinmunidad.</t>
  </si>
  <si>
    <t>D2 · Propone un diseño que compare el crecimiento en tres sustratos, con igual riego, luz y número de plántulas.</t>
  </si>
  <si>
    <t>Conocer: clasificar enfermedades. Aplicar: interpretar datos oficiales. Razonar: argumentar medidas de prevención</t>
  </si>
  <si>
    <t>Infografía sobre enfermedades del sistema inmunitario con datos oficiales y medidas de prevención</t>
  </si>
  <si>
    <t>D3 · Evalúa, con los datos de altura y número de hojas, si su diseño permitió concluir qué sustrato fue más adecuado.</t>
  </si>
  <si>
    <t>4</t>
  </si>
  <si>
    <t>Creatividad (Indagar)
Adapta envases reutilizados para construir un sistema de cultivo en sustrato o hidropónico sencillo y funcional.</t>
  </si>
  <si>
    <t>Nunca escribo en la IA nombres, fotos de rostros, datos de salud ni datos genéticos de nadie. No subo fotos de personas.</t>
  </si>
  <si>
    <t>3.12. Ejemplifica enfermedades que afectan el sistema inmunitario y sus consecuencias.</t>
  </si>
  <si>
    <t>Conocer: describir el procedimiento de cultivo en sustrato. Aplicar: establecer un cultivo en sustrato</t>
  </si>
  <si>
    <t>Sistema de cultivo en sustrato funcionando con registro de crecimiento y explicación escrita del procedimiento técnico</t>
  </si>
  <si>
    <r>
      <rPr>
        <rFont val="Arial"/>
        <color theme="1"/>
        <sz val="9.0"/>
      </rPr>
      <t>2.2 Compartir a través de tecnologías digitales – Básico</t>
    </r>
    <r>
      <rPr>
        <rFont val="Arial"/>
        <color rgb="FF7030A0"/>
        <sz val="9.0"/>
      </rPr>
      <t xml:space="preserve">
Con la IA (DigComp 3.0, nivel real): CS1.2.11 – Intermedio: reconoce que las personas y la IA pueden tener sesgos.</t>
    </r>
  </si>
  <si>
    <t>3.8. Explica un procedimiento técnico para establecer cultivos vegetales en un sustrato distinto al suelo.</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</si>
  <si>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</si>
  <si>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5</t>
  </si>
  <si>
    <t>La IA no diagnostica, no da consejos de salud y no decide qué se puede comer, beber, mezclar o tocar, ni qué hacer en una emergencia.</t>
  </si>
  <si>
    <r>
      <rPr>
        <rFont val="Arial"/>
        <color theme="1"/>
        <sz val="9.0"/>
      </rPr>
      <t>Compartir en el aula virtual la infografía con los enlaces a los datos oficiales de ONUSIDA y del MINSAL que la sustentan.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tú cómo afecta el VIH a los linfocitos T y en qué se diferencia de una enfermedad autoinmune. Agrega al cuaderno NotebookLM fuentes de ONUSIDA y del MINSAL y pregúntale: «¿Por qué son importantes la prueba voluntaria y el tratamiento antirretroviral?». Revisa si la respuesta usa lenguaje que estigmatice a las personas y reescribe esas frases con respeto. No incluyas casos de personas reales.
Evidencia: Ficha «Yo pienso · La IA dice · Lo comprobé»: en «Yo pienso» tu explicación; en «La IA dice» la respuesta rotulada «Respuesta de IA» con su fuente; en «Lo comprobé» las frases revisadas y tu versión sin estigma. Marca ✔/✘ cada dato de la IA y anota una línea en tu registro de uso de IA.
Refuerza con: MINSAL (https://www.salud.gob.sv)
→ PISA E6 · TIMSS Aplicar</t>
    </r>
  </si>
  <si>
    <t>Respeto al medio ambiente, entorno y territorio
Relaciona el humo de la quema de caña y de basura con las crisis de asma y propone alternativas para mejorar la calidad del aire.</t>
  </si>
  <si>
    <t>Oficial
Malla 10.° grado, U8 · 8.12</t>
  </si>
  <si>
    <r>
      <rPr>
        <rFont val="Arial"/>
        <color theme="1"/>
        <sz val="9.0"/>
      </rPr>
      <t>Programa en una hoja de cálculo una regla condicional que indique cuándo regar según la humedad registrada del sustrato.</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Cultiva rábano o cilantro en tres sustratos (tierra, fibra de coco y agua con nutrientes de una mezcla comercial de hidroponía seguida según la etiqueta). Registra crecimiento dos semanas. Escribe tu interpretación. Luego pásale tu tabla a la IA y pídele: «Interpreta estos datos y dime qué conclusiones se pueden sacar y cuáles no». Revisa si la IA afirma algo que tus datos no muestran.
Evidencia: Tabla y gráfica propias, tu interpretación, Respuesta de IA rotulada con las conclusiones sin respaldo subrayadas y declaración de uso de IA («Así usé la IA: … · Lo que revisé yo: …»). Línea en el registro de uso de IA.
→ PISA D3 · TIMSS Aplicar</t>
    </r>
  </si>
  <si>
    <t>U4 - Eje integrador: interacciones</t>
  </si>
  <si>
    <t>Convivir
Comparte con otros equipos las mejoras de su sistema de cultivo y acepta sus sugerencias.
↳ Se trabaja en la actividad digital (DigComp 3.4).</t>
  </si>
  <si>
    <t>6</t>
  </si>
  <si>
    <t>La IA gasta energía y agua en grandes centros de datos: la uso con un propósito claro.</t>
  </si>
  <si>
    <t>Oficial
Malla 11.° grado, U6 · 6.8</t>
  </si>
  <si>
    <t>Disponibilidad de nutrientes y pH del suelo</t>
  </si>
  <si>
    <t>3.9. Reconocimiento de los efectos de los cambios del pH del suelo en la nutrición mineral de las plantas.</t>
  </si>
  <si>
    <t>4. Genética moderna</t>
  </si>
  <si>
    <t>E1 · Recuerda lo visto en 9.° sobre pH y soluciones amortiguadoras y lo aplica a la solución del suelo.</t>
  </si>
  <si>
    <t>Herencia no mendeliana</t>
  </si>
  <si>
    <t>E3 · Predice si el fósforo estará disponible para las plantas en un suelo volcánico ácido de la zona cafetalera.</t>
  </si>
  <si>
    <t>7</t>
  </si>
  <si>
    <t>Dominancia incompleta
Codominancia</t>
  </si>
  <si>
    <t>E2 · Interpreta un diagrama de disponibilidad de nutrientes según el pH del suelo y deduce el intervalo óptimo para la mayoría de cultivos.</t>
  </si>
  <si>
    <t>4.1. Resolución de cruzamientos con dominancia incompleta y codominancia a partir de proporciones fenotípicas observadas.</t>
  </si>
  <si>
    <t>Si no hay internet, uso la respuesta de IA impresa en mi ficha. BirdNET y Pl@ntNet funcionan sin conexión.</t>
  </si>
  <si>
    <t>D4 · Mide con tiras o pHmetro el pH de muestras de suelo del centro escolar suspendidas en agua destilada y compara los resultados.</t>
  </si>
  <si>
    <t>Resuelve problemas de herencia no mendeliana, alelos múltiples y herencia ligada al sexo, e infiere patrones de herencia a partir del análisis de genealogías. Construye mapas genéticos a partir de frecuencias de recombinación y argumenta las implicaciones éticas del uso de la información genómica humana.</t>
  </si>
  <si>
    <t>I5 · Justifica qué recomendaría a un productor cuyo suelo tiene pH 4.8 para mejorar la nutrición de su cultivo.</t>
  </si>
  <si>
    <t>Pensamiento crítico (Indagar)
Relaciona críticamente el pH medido con la disponibilidad de nutrientes y detecta posibles errores de medición.</t>
  </si>
  <si>
    <t>Conocer: describir los efectos del pH del suelo en la nutrición mineral. Aplicar: medir el pH del suelo. Razonar: relacionarlo con la disponibilidad de nutrientes</t>
  </si>
  <si>
    <t>Informe con tabla de pH de muestras de suelo, interpretación con el diagrama de disponibilidad y recomendación técnica</t>
  </si>
  <si>
    <t>Rigurosidad al interpretar genealogías y datos de cruzamientos. Respeto por la privacidad de la información genética de las personas y valoración ética del consejo genético y de la investigación genómica.</t>
  </si>
  <si>
    <t>3.9. Describe los efectos de los cambios del pH del suelo en la nutrición mineral de las plantas.</t>
  </si>
  <si>
    <r>
      <rPr>
        <rFont val="Arial"/>
        <color theme="1"/>
        <sz val="9.0"/>
      </rPr>
      <t>4.1 Protección de dispositivos – Básico</t>
    </r>
    <r>
      <rPr>
        <rFont val="Arial"/>
        <color rgb="FF7030A0"/>
        <sz val="9.0"/>
      </rPr>
      <t xml:space="preserve">
Con la IA (DigComp 3.0, nivel real): CS1.2.13 – Intermedio: valora qué tan confiable es una fuente, teniendo en cuenta el papel de la IA.</t>
    </r>
  </si>
  <si>
    <t>E1 · Recuerda las proporciones 3:1 de los cruces mendelianos vistos en 7.° y las compara con flores rosadas de la maravilla (Mirabilis jalapa).</t>
  </si>
  <si>
    <t>D1 · Pregunta guía: «¿Por qué al cruzar plantas de flor roja y blanca aparecen flores rosadas en lugar de rojas?».</t>
  </si>
  <si>
    <t>E2 · Representa en cuadros de Punnett los cruces de Mirabilis jalapa y del ganado de pelaje ruano para obtener la proporción 1:2:1.</t>
  </si>
  <si>
    <t>D4 · Interpreta una tabla de conteos publicados de la F2 y decide si el rasgo muestra dominancia incompleta o codominancia.</t>
  </si>
  <si>
    <t>E3 · Predice las proporciones fenotípicas de un retrocruzamiento con dominancia incompleta y justifica su predicción con el genotipo.</t>
  </si>
  <si>
    <t>2. CÓMO DEJO EVIDENCIA</t>
  </si>
  <si>
    <t>Colaboración (Explicar)
Reparte en el equipo los cruces de dominancia incompleta y codominancia y construye con sus pares un cuadro comparativo común.</t>
  </si>
  <si>
    <t>Aplicar: resolver cruzamientos y calcular proporciones. Razonar: distinguir patrones de herencia</t>
  </si>
  <si>
    <t>Hoja de problemas resueltos con cuadros de Punnett y cuadro comparativo de dominancia incompleta y codominancia</t>
  </si>
  <si>
    <t>INDAGACIÓN: Analizar datos de cruzamientos, genealogías y cariotipos de casos publicados o ficticios para inferir el patrón de herencia de un rasgo, estimar distancias entre genes ligados y evaluar las implicaciones sociales y éticas del conocimiento del genoma humano.</t>
  </si>
  <si>
    <r>
      <rPr>
        <rFont val="Arial"/>
        <color theme="1"/>
        <sz val="9.0"/>
      </rPr>
      <t>Revisa el origen, los permisos y las actualizaciones antes de instalar una aplicación de registro de datos de suelo en su teléfono.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Mide el pH de tres suelos (patio, cafetal o huerto, y orilla de quebrada) con indicador de repollo morado y anota el color. Predice qué nutrientes estarán menos disponibles en el suelo más ácido. Sube al cuaderno de NotebookLM una ficha del CENTA sobre pH y nutrición y pregúntale: «¿Cómo cambia la disponibilidad de nutrientes según el pH del suelo? Cita la fuente». Compara con tu predicción y con el simulador de pH.
Evidencia: Ficha «Yo pienso · La IA dice · Lo comprobé»: tabla «Suelo · Color · pH estimado · Nutrientes limitados», Respuesta de IA rotulada con cita. Línea en el registro de uso de IA.
Refuerza con: PhET «Escala de pH» (https://phet.colorado.edu/sims/html/ph-scale/latest/ph-scale_es.html) · CENTA (https://www.centa.gob.sv)
→ PISA D4 · TIMSS Razonar</t>
    </r>
  </si>
  <si>
    <t>Convivir
Solicita permiso al personal del centro escolar antes de tomar muestras de suelo en las áreas verdes.
↳ Se trabaja en la actividad digital (DigComp 4.1).</t>
  </si>
  <si>
    <t>4.1. Distingue la dominancia incompleta de la codominancia al interpretar las proporciones fenotípicas de la F2 de un cruzamiento.</t>
  </si>
  <si>
    <t>Oficial
Malla 11.° grado, U6 · 6.9</t>
  </si>
  <si>
    <t>Formato</t>
  </si>
  <si>
    <t>Las proporciones mendelianas son solo un caso particular de la herencia: la interacción entre alelos, la existencia de series alélicas, la ubicación de los genes en los cromosomas sexuales y el ligamiento modifican los resultados esperados de los cruzamientos. Comprender estos mecanismos permite interpretar enfermedades hereditarias, orientar el consejo genético y participar informadamente en los debates éticos sobre la genómica humana.</t>
  </si>
  <si>
    <t>Cómo se llena</t>
  </si>
  <si>
    <t>Desarrollo vegetal</t>
  </si>
  <si>
    <t>Concepto y etapas
Hormonas vegetales</t>
  </si>
  <si>
    <t>3.10. Indagación de la existencia de hormonas vegetales.</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</si>
  <si>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</si>
  <si>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Programar en una hoja de cálculo o en Python sencillo un cuadro de Punnett que genere automáticamente las proporciones genotípicas y fenotípicas.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Con la tabla de conteos de la F2 (flores rojas, rosadas y blancas; o pelaje mezclado), decide tú si es dominancia incompleta o codominancia y calcula las proporciones. Luego pídele a Gemini que resuelva el mismo cruce y prediga un retrocruzamiento. Revisa su cuadro de Punnett y sus proporciones; si se equivoca, escribe en qué paso falló y pídele que lo corrija.
Evidencia: Ficha «Yo pienso · La IA dice · Lo comprobé»: en «Yo pienso» tu cuadro de Punnett y tus proporciones; en «La IA dice» su solución rotulada «Respuesta de IA»; en «Lo comprobé» tu comparación con los conteos y el paso donde la IA falló, si lo hubo. Marca ✔/✘ cada dato de la IA y anota una línea en tu registro de uso de IA.
→ PISA D4 · TIMSS Razonar</t>
    </r>
  </si>
  <si>
    <t>Ficha «Yo pienso · La IA dice · Lo comprobé» (cuaderno)</t>
  </si>
  <si>
    <t>Convivir
Comparte su programa del cuadro de Punnett con otro equipo y acepta sugerencias de mejora con respeto.
↳ Se trabaja en la actividad digital (DigComp 3.4).</t>
  </si>
  <si>
    <t>Yo pienso: mi idea, predicción, medición o cálculo antes de consultar. La IA dice: la respuesta rotulada «Respuesta de IA», con la herramienta y la fecha. Lo comprobé: con qué dato, simulador o fuente la verifiqué y mi conclusión.</t>
  </si>
  <si>
    <t>E1 · Recuerda lo visto en 8.° sobre hormonas y órganos diana y lo aplica a la comunicación química entre partes de la planta.</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</si>
  <si>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genes se escriben en cursiva y las proteínas en letra redonda; los alelos dominantes se representan con mayúscula y los recesivos con minúscula, y los alelos ligados al cromosoma X como superíndices (X^H, X^h). En los alelos múltiples del sistema ABO se usan I^A, I^B e i. Simbología utilizada para la representación de magnitudes de interés en la unidad: P: generación parental. F1, F2: primera y segunda generación filial. FR: frecuencia de recombinación, en porcentaje, %. cM: centimorgan, unidad de distancia genética equivalente a 1 % de recombinación. 2n: número diploide de cromosomas. Mb: megabase, un millón de pares de bases. En los pedigríes, el cuadrado representa a un varón, el círculo a una mujer y el símbolo relleno a una persona afectada.</t>
  </si>
  <si>
    <t>E5 · Plantea una hipótesis sobre por qué una plántula de frijol se curva hacia la ventana cuando crece junto a ella.</t>
  </si>
  <si>
    <t>E4 · Utiliza el modelo de los experimentos de Darwin y Went para explicar cómo la auxina provoca el fototropismo.</t>
  </si>
  <si>
    <t>D4 · Interpreta resultados de experimentos clásicos con coleóptilos y concluye dónde se produce la hormona y dónde actúa.</t>
  </si>
  <si>
    <t>Registro de uso de IA (última página del cuaderno)</t>
  </si>
  <si>
    <t>E3 · Predice cómo crecería una plántula si se le retirara el ápice y se colocara auxina a un solo lado del corte.</t>
  </si>
  <si>
    <t>Una línea por uso: fecha · tema · herramienta · qué le pregunté · para qué · cómo lo comprobé · dónde está la evidencia.</t>
  </si>
  <si>
    <t>Colaboración (Aproximar)
Comparte con su equipo observaciones de plantas que se curvan hacia la luz y construyen juntos una pregunta de investigación.</t>
  </si>
  <si>
    <t>Alelos múltiples
Grupos sanguíneos ABO
Factor Rh</t>
  </si>
  <si>
    <t>Conocer: definir hormona vegetal. Razonar: interpretar experimentos clásicos de fototropismo</t>
  </si>
  <si>
    <t>4.2. Análisis de la herencia de los grupos sanguíneos ABO y Rh como ejemplo de alelos múltiples y codominancia.</t>
  </si>
  <si>
    <t>Esquema explicativo de los experimentos de fototropismo con la relación entre auxina y desarrollo de la planta</t>
  </si>
  <si>
    <t>E6 · Reconoce la importancia de conocer los grupos sanguíneos para las transfusiones seguras en los hospitales salvadoreños.</t>
  </si>
  <si>
    <t>3.10. Relaciona el concepto de hormona vegetal con el desarrollo de las plantas.</t>
  </si>
  <si>
    <t>E5 · Plantea una hipótesis que explique por qué existen cuatro grupos sanguíneos a partir de solo tres alelos del gen ABO.</t>
  </si>
  <si>
    <t>Declaración de uso de IA en mis trabajos</t>
  </si>
  <si>
    <t>E1 · Explica la relación de dominancia entre los alelos I^A, I^B e i y la herencia independiente del factor Rh.</t>
  </si>
  <si>
    <t>D4 · Interpreta los resultados de una simulación de tipificación con sangre artificial y deduce el grupo de cada muestra ficticia.</t>
  </si>
  <si>
    <t>Todo informe, cartel o presentación que usó IA lleva un recuadro: «Así usé la IA: … · Lo que revisé yo: …».</t>
  </si>
  <si>
    <t>I5 · Justifica, con base en los antígenos y anticuerpos, qué combinaciones de donante y receptor son compatibles en una transfusión.</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</si>
  <si>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</si>
  <si>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t>Pensamiento crítico (Reforzar)
Evalúa críticamente afirmaciones populares sobre la personalidad según el grupo sanguíneo y las contrasta con la evidencia genética.</t>
  </si>
  <si>
    <t>Aplicar: determinar genotipos y fenotipos. Razonar: justificar la compatibilidad sanguínea</t>
  </si>
  <si>
    <t>Tabla de compatibilidad transfusional y resolución de cuatro casos ficticios de herencia ABO y Rh</t>
  </si>
  <si>
    <t>4.2. Determina los genotipos y fenotipos posibles de los grupos sanguíneos ABO y Rh en la descendencia de parejas ficticias.</t>
  </si>
  <si>
    <r>
      <rPr>
        <rFont val="Arial"/>
        <color theme="1"/>
        <sz val="9.0"/>
      </rPr>
      <t>1.2 Evaluación de la información – Básico</t>
    </r>
    <r>
      <rPr>
        <rFont val="Arial"/>
        <color rgb="FF7030A0"/>
        <sz val="9.0"/>
      </rPr>
      <t xml:space="preserve">
Con la IA (DigComp 3.0, nivel real): CS4.2.13 – Intermedio: describe qué pasa con la privacidad cuando el contenido compartido se usa para entrenar IA.</t>
    </r>
  </si>
  <si>
    <r>
      <rPr>
        <rFont val="Arial"/>
        <color theme="1"/>
        <sz val="9.0"/>
      </rPr>
      <t>Selecciona ilustraciones de los experimentos de Darwin y Went con licencia abierta y registra autor y licencia en su esquema.</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Pon frijoles germinados en una caja de zapatos con un agujero lateral y otros a la luz normal. Predice hacia dónde crecerán y por qué. Observa cinco días. Luego sube al cuaderno de NotebookLM textos sobre auxinas, giberelinas, citoquininas, etileno y ácido abscísico y pregúntale: «¿Qué hormona explica el fototropismo y cómo actúa? Cita la fuente». Explica tu resultado con la evidencia.
Evidencia: Ficha «Yo pienso · La IA dice · Lo comprobé»: predicción, fotos del día 1 y día 5, Respuesta de IA rotulada con cita y tu explicación final. Línea en el registro de uso de IA.
→ PISA D4 · TIMSS Razonar</t>
    </r>
  </si>
  <si>
    <t>Uso ético de la información
Respeta la autoría de las ilustraciones científicas y cita correctamente los experimentos históricos.
↳ Se trabaja en la actividad digital (DigComp 3.3).</t>
  </si>
  <si>
    <t>Oficial
Malla 11.° grado, U6 · 6.10</t>
  </si>
  <si>
    <t>Fitorreguladores</t>
  </si>
  <si>
    <t>3. HERRAMIENTAS Y ENLACES</t>
  </si>
  <si>
    <t>3.11. Experimentación con los efectos de hormonas vegetales y fitorreguladores en el desarrollo de las plantas.</t>
  </si>
  <si>
    <r>
      <rPr>
        <rFont val="Arial"/>
        <color theme="1"/>
        <sz val="9.0"/>
      </rPr>
      <t>Evaluar la fiabilidad de dos fuentes digitales sobre donación de sangre, comparando su autoría, fecha y respaldo científico.</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muestras ficticias de la simulación de tipificación, deduce el grupo ABO y Rh de cada una y escribe qué donantes son compatibles con cada receptor. Luego pregúntale al cuaderno NotebookLM: «¿Qué antígenos y anticuerpos explican la compatibilidad en una transfusión?». Compara con tu tabla. Nunca escribas tu grupo sanguíneo ni el de tu familia: es un dato de salud.
Evidencia: Ficha «Yo pienso · La IA dice · Lo comprobé»: en «Yo pienso» tu tabla de compatibilidad; en «La IA dice» la explicación rotulada «Respuesta de IA» con su fuente; en «Lo comprobé» tu tabla corregida con cada cambio citado. Marca ✔/✘ cada dato de la IA y anota una línea en tu registro de uso de IA.
→ PISA I5 · TIMSS Aplicar</t>
    </r>
  </si>
  <si>
    <t>E1 · Recuerda cómo actúa una hormona vegetal y lo aplica a la maduración de frutos almacenados junto a un plátano maduro.</t>
  </si>
  <si>
    <t>E5 · Plantea una hipótesis sobre si los aguacates o tomates guardados con un plátano maduro en bolsa cerrada madurarán antes.</t>
  </si>
  <si>
    <t>Uso ético de la información
Utiliza exclusivamente casos ficticios o publicados y no solicita ni divulga el grupo sanguíneo de compañeros o familiares.
↳ Se trabaja en la actividad digital (DigComp 1.2).</t>
  </si>
  <si>
    <t>E1 · Aplica el conocimiento sobre etileno, auxinas y citocininas para explicar el efecto del agua de sauce y del agua de coco en esquejes.</t>
  </si>
  <si>
    <t>D4 · Compara los días de maduración y el enraizamiento entre tratamientos y controles y concluye el efecto de cada fitorregulador natural.</t>
  </si>
  <si>
    <t>E6 · Explica cómo la agroindustria usa el etileno y otros fitorreguladores para controlar la maduración de frutos de exportación.</t>
  </si>
  <si>
    <t>Herramienta</t>
  </si>
  <si>
    <t>Comunicación (Indagar)
Presenta los resultados de su experimento con gráficas claras y explica a la clase el efecto de cada fitorregulador.</t>
  </si>
  <si>
    <t>Quién la usa</t>
  </si>
  <si>
    <t>Herencia ligada al sexo</t>
  </si>
  <si>
    <t>Costo y cuenta</t>
  </si>
  <si>
    <t>Edad según sus condiciones</t>
  </si>
  <si>
    <t>Cromosomas X e Y
Daltonismo
Hemofilia</t>
  </si>
  <si>
    <t>Internet</t>
  </si>
  <si>
    <t>4.3. Resolución de problemas de herencia de rasgos ligados al cromosoma X en casos humanos y en Drosophila melanogaster.</t>
  </si>
  <si>
    <t>Para qué la usamos</t>
  </si>
  <si>
    <t>Temas de la malla</t>
  </si>
  <si>
    <t>Enlace oficial</t>
  </si>
  <si>
    <t>E1 · Recuerda la determinación cromosómica del sexo XX y XY y la relaciona con la mayor frecuencia de daltonismo en varones.</t>
  </si>
  <si>
    <t>D1 · Pregunta guía: «¿Por qué una madre con visión normal puede tener un hijo daltónico?».</t>
  </si>
  <si>
    <t>E2 · Representa cruzamientos con alelos ligados al X (X^H, X^h) para la hemofilia y el color de ojos en Drosophila melanogaster.</t>
  </si>
  <si>
    <t>D4 · Analiza los resultados publicados de Morgan con moscas de ojos blancos y concluye que el gen está en el cromosoma X.</t>
  </si>
  <si>
    <t>E3 · Predice la probabilidad de hijos e hijas afectados en una pareja ficticia con madre portadora y justifica su respuesta.</t>
  </si>
  <si>
    <t>NotebookLM (Gemini Notebook)</t>
  </si>
  <si>
    <t>Aplicar: comparar tratamientos con control. Razonar: explicar efectos de fitorreguladores en el desarrollo</t>
  </si>
  <si>
    <t>Comunicación (Explicar)
Explica ante la clase, con un esquema de cromosomas X e Y, la diferencia entre ser portadora y estar afectado.</t>
  </si>
  <si>
    <t>El estudiante</t>
  </si>
  <si>
    <t>Gratis; cuenta institucional</t>
  </si>
  <si>
    <t>Aplicar: resolver cruzamientos ligados al sexo. Razonar: explicar diferencias de frecuencia entre sexos</t>
  </si>
  <si>
    <t>Informe experimental con fotografías diarias, tabla de maduración o enraizamiento y conclusión sobre cada fitorregulador</t>
  </si>
  <si>
    <t>Todas las edades con la cuenta institucional; 13 años o más con cuenta personal</t>
  </si>
  <si>
    <t>Sí</t>
  </si>
  <si>
    <t>agente que responde solo con las fuentes de la unidad</t>
  </si>
  <si>
    <t>Infografía sobre herencia ligada al X con tres problemas resueltos de daltonismo y hemofilia</t>
  </si>
  <si>
    <t>10.° 1.1, 10.° 1.3, 10.° 1.8, 10.° 1.9, 10.° 1.11, 10.° 2.1, 10.° 2.4, 10.° 2.5, 10.° 2.6, 10.° 2.9, 10.° 3.1, 10.° 3.3, 10.° 3.6, 10.° 3.8, 10.° 3.9, 10.° 3.10, 10.° 3.12, 10.° 4.2, 10.° 4.4, 10.° 4.6, 10.° 5.2, 10.° 5.5, 10.° 6.1, 10.° 7.1, 10.° 7.2, 10.° 7.4, 10.° 7.6, 10.° 8.1, 11.° 1.2, 11.° 1.10, 11.° 2.2, 11.° 2.7, 11.° 2.10, 11.° 2.13, 11.° 2.15, 11.° 3.5, 11.° 3.7, 11.° 3.9, 11.° 3.10 … (59 en total)</t>
  </si>
  <si>
    <t>4.3. Explica por qué los rasgos recesivos ligados al cromosoma X se manifiestan con mayor frecuencia en varones que en mujeres.</t>
  </si>
  <si>
    <t>3.11. Ejemplifica efectos de las hormonas vegetales o fitorreguladores en el desarrollo de las plantas o sus estructuras.</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</si>
  <si>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</si>
  <si>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Reelaborar en una infografía digital esquemas de cromosomas sexuales tomados de fuentes abiertas, integrándolos con sus propios problemas resueltos.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Analiza los resultados de Morgan con moscas de ojos blancos y resuelve tú: madre portadora de daltonismo y padre sin daltonismo (pareja ficticia), ¿qué probabilidad tienen hijos e hijas de ser afectados? Pídele a Gemini el mismo problema. Revisa si escribió bien los cromosomas (XᴰXᵈ, XᴰY) y las probabilidades por sexo. Si falla, señala el error y explica por qué.
Evidencia: Ficha «Yo pienso · La IA dice · Lo comprobé»: en «Yo pienso» tu cuadro de Punnett con cromosomas X e Y; en «La IA dice» su solución rotulada «Respuesta de IA»; en «Lo comprobé» la comparación con los datos de Morgan y el error de la IA, si lo hubo. Marca ✔/✘ cada dato de la IA y anota una línea en tu registro de uso de IA.
→ PISA D4 · TIMSS Razonar</t>
    </r>
  </si>
  <si>
    <t>Uso ético de la información
Cita la procedencia y la licencia de cada esquema reutilizado en la infografía sobre herencia ligada al sexo.
↳ Se trabaja en la actividad digital (DigComp 3.2).</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</si>
  <si>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</si>
  <si>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t>Análisis de genealogías</t>
  </si>
  <si>
    <t>Símbolos de los pedigríes
Herencia autosómica y ligada al sexo
Dominante y recesiva</t>
  </si>
  <si>
    <t>4.4. Interpretación de genealogías publicadas o ficticias para inferir el modo de herencia de un rasgo.</t>
  </si>
  <si>
    <t>E1 · Reconoce los símbolos convencionales de un pedigrí en la genealogía publicada de la hemofilia en las familias reales europeas.</t>
  </si>
  <si>
    <t>E3 · Anticipa qué patrón de afectados esperaría en tres generaciones si un rasgo fuera autosómico dominante y justifica su anticipación.</t>
  </si>
  <si>
    <t>E2 · Transforma la descripción escrita de una familia ficticia en un pedigrí con generaciones numeradas y genotipos asignados.</t>
  </si>
  <si>
    <r>
      <rPr>
        <rFont val="Arial"/>
        <color theme="1"/>
        <sz val="9.0"/>
      </rPr>
      <t>Coordina con su equipo el registro fotográfico diario en una carpeta compartida con nombres de archivo acordados.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Prepara esquejes iguales: unos en agua de ramas de sauce remojadas, otros en agua de lentejas germinadas y otros en agua sola. Predice cuáles enraizarán más. Pregúntale a la IA: «¿Por qué el agua de sauce o de lentejas germinadas podría estimular el enraizamiento?». Cuenta las raíces cada tres días. Compara tus datos con la explicación de la IA y anota qué no se puede concluir.
Evidencia: Ficha «Yo pienso · La IA dice · Lo comprobé»: predicción, tabla «Día · Tratamiento · Número de raíces», Respuesta de IA rotulada y conclusión. Línea en el registro de uso de IA.
→ PISA D4 · TIMSS Razonar</t>
    </r>
  </si>
  <si>
    <t>D4 · Aplica criterios de descarte a cuatro pedigríes ficticios y concluye cuál es el modo de herencia más probable en cada uno.</t>
  </si>
  <si>
    <t>D3 · Evalúa si un pedigrí con pocos individuos es suficiente para afirmar un modo de herencia y propone qué información faltaría.</t>
  </si>
  <si>
    <t>Respeto al medio ambiente, entorno y territorio
Composta los frutos y restos vegetales del experimento en lugar de desecharlos con la basura común.</t>
  </si>
  <si>
    <t>Creatividad (Explicar)
Diseña un pedigrí ficticio original de tres generaciones con un patrón de herencia oculto para que otro equipo lo descifre.</t>
  </si>
  <si>
    <t>Aplicar: construir e interpretar pedigríes. Razonar: descartar hipótesis de herencia con evidencia</t>
  </si>
  <si>
    <t>Oficial
Malla 11.° grado, U6 · 6.11</t>
  </si>
  <si>
    <t>Cuatro pedigríes analizados con justificación escrita del modo de herencia y un pedigrí original diseñado por el equipo</t>
  </si>
  <si>
    <t>4.4. Infiere a partir de un pedigrí si un rasgo se hereda de forma autosómica o ligada al sexo, y dominante o recesiva.</t>
  </si>
  <si>
    <r>
      <rPr>
        <rFont val="Arial"/>
        <color theme="1"/>
        <sz val="9.0"/>
      </rPr>
      <t>3.1 Desarrollo de contenidos digitales – Básico</t>
    </r>
    <r>
      <rPr>
        <rFont val="Arial"/>
        <color rgb="FF7030A0"/>
        <sz val="9.0"/>
      </rPr>
      <t xml:space="preserve">
Con la IA (DigComp 3.0, nivel real): CS4.2.13 – Intermedio: describe qué pasa con la privacidad cuando el contenido compartido se usa para entrenar IA.</t>
    </r>
  </si>
  <si>
    <t>Fotoperíodo</t>
  </si>
  <si>
    <t>3.12. Reconocimiento de los efectos del fotoperíodo en plantas.</t>
  </si>
  <si>
    <t>Gemini (Google)</t>
  </si>
  <si>
    <t>E1 · Recuerda cómo varía la duración del día a lo largo del año y lo aplica a la latitud de El Salvador.</t>
  </si>
  <si>
    <r>
      <rPr>
        <rFont val="Arial"/>
        <color theme="1"/>
        <sz val="9.0"/>
      </rPr>
      <t>Elaborar pedigríes con un programa de dibujo o de diagramas usando la simbología estandarizada y exportarlos como imagen.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Aplica tú los criterios de descarte a cuatro pedigríes ficticios y decide el modo de herencia más probable de cada uno. Luego pregúntale al cuaderno NotebookLM: «¿Qué patrones permiten descartar la herencia ligada al X o la dominante en un pedigrí?». Compara sus criterios con los tuyos y escribe si un pedigrí con pocos individuos basta para afirmar el modo de herencia. No hagas el pedigrí de tu familia.
Evidencia: Ficha «Yo pienso · La IA dice · Lo comprobé»: en «Yo pienso» tus cuatro conclusiones con su criterio; en «La IA dice» los criterios rotulados «Respuesta de IA» con su fuente; en «Lo comprobé» qué conclusión cambiaste y qué dato faltaría. Marca ✔/✘ cada dato de la IA y anota una línea en tu registro de uso de IA.
→ PISA D3 · TIMSS Aplicar</t>
    </r>
  </si>
  <si>
    <t>Convivir
Construye únicamente genealogías ficticias o publicadas y respeta que nadie comparta datos de salud de su familia.</t>
  </si>
  <si>
    <t>E3 · Predice por qué la flor de pascua florece en diciembre y qué pasaría si recibiera luz artificial durante la noche.</t>
  </si>
  <si>
    <t>Todas las edades con la cuenta institucional (Google Workspace for Education); 13 años o más con cuenta personal</t>
  </si>
  <si>
    <t>E2 · Representa en una gráfica la duración del día en San Salvador a lo largo del año y marca los meses de floración de plantas de día corto.</t>
  </si>
  <si>
    <t>asistente conversacional</t>
  </si>
  <si>
    <t>I3 · Argumenta con datos cómo el fotoperíodo determina la época de floración de la caña de azúcar y del frijol de temporada.</t>
  </si>
  <si>
    <t>E6 · Explica cómo los productores de flores ornamentales manipulan el fotoperíodo para programar sus cosechas.</t>
  </si>
  <si>
    <t>Teoría cromosómica de la herencia</t>
  </si>
  <si>
    <t>10.° 1.2, 10.° 1.5, 10.° 1.7, 10.° 1.10, 10.° 2.2, 10.° 2.3, 10.° 2.8, 10.° 2.10, 10.° 2.11, 10.° 2.14, 10.° 3.2, 10.° 3.5, 10.° 3.7, 10.° 3.11, 10.° 4.1, 10.° 4.3, 10.° 4.5, 10.° 4.7, 10.° 5.1, 10.° 5.3, 10.° 5.7, 10.° 5.8, 10.° 6.4, 10.° 7.3, 11.° 1.1, 11.° 1.5, 11.° 1.8, 11.° 2.1, 11.° 2.5, 11.° 2.8, 11.° 2.9, 11.° 2.12, 11.° 2.14, 11.° 3.4, 11.° 3.6, 11.° 3.8 … (46 en total)</t>
  </si>
  <si>
    <t>Creatividad (Explorar)
Propone un experimento original para comprobar el efecto de la duración de la luz en la floración de una planta de su casa.</t>
  </si>
  <si>
    <t>Genes ligados
Recombinación y entrecruzamiento
Mapas genéticos</t>
  </si>
  <si>
    <t>Conocer: describir plantas de día corto, largo y neutro. Aplicar: graficar la duración del día. Razonar: explicar la floración según el fotoperíodo</t>
  </si>
  <si>
    <t>4.5. Cálculo de frecuencias de recombinación entre genes ligados y construcción de mapas genéticos lineales.</t>
  </si>
  <si>
    <t>Gráfica anual de duración del día con explicación de los efectos del fotoperíodo en tres cultivos o plantas ornamentales</t>
  </si>
  <si>
    <t>E1 · Relaciona la teoría cromosómica de Sutton y Boveri con el comportamiento de los cromosomas homólogos durante la meiosis.</t>
  </si>
  <si>
    <t>3.12. Explica los efectos del fotoperíodo en las plantas.</t>
  </si>
  <si>
    <t>D1 · Pregunta guía: «¿Por qué dos genes ubicados en el mismo cromosoma no siempre se heredan juntos?».</t>
  </si>
  <si>
    <t>E4 · Modela con tiras de papel el entrecruzamiento entre cromátidas y explica cómo la distancia aumenta la probabilidad de recombinación.</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</si>
  <si>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</si>
  <si>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D4 · Calcula frecuencias de recombinación con datos publicados de Drosophila melanogaster y ordena tres genes en un mapa en centimorgan.</t>
  </si>
  <si>
    <t>E3 · Predice la proporción de descendientes recombinantes para dos genes separados por 12 cM y justifica su cálculo.</t>
  </si>
  <si>
    <t>Pensamiento crítico (Indagar)
Justifica el orden de los genes en el mapa comparando las clases de dobles recombinantes con las parentales.</t>
  </si>
  <si>
    <t>Aplicar: calcular frecuencias de recombinación. Razonar: deducir el orden de genes ligados</t>
  </si>
  <si>
    <t>Mapa genético de tres genes con tabla de frecuencias de recombinación y distancias en centimorgan</t>
  </si>
  <si>
    <t>4.5. Construye un mapa genético de tres genes ligados a partir de las frecuencias de recombinación obtenidas en cruzamientos de prueba.</t>
  </si>
  <si>
    <r>
      <rPr>
        <rFont val="Arial"/>
        <color theme="1"/>
        <sz val="9.0"/>
      </rPr>
      <t>Busca datos confiables de salida y puesta del sol para San Salvador y filtra los de un día representativo de cada mes.</t>
    </r>
    <r>
      <rPr>
        <rFont val="Arial"/>
        <color rgb="FF7030A0"/>
        <sz val="9.0"/>
      </rPr>
      <t xml:space="preserve">
IA (Indagar · el estudiante, solo o en pareja).
Herramienta y medio: app Pl@ntNet (plantnet.org) en el celular o la tableta; muestra varias opciones con su porcentaje de confianza.
Actividad: Identifica con Pl@ntNet tres plantas que florecen en épocas distintas del año (pascua, maquilishuat, flor de izote). Predice si son de día corto, largo o neutras. Busca en iNaturalist en qué meses se registran en flor en El Salvador y compara con la duración del día en esos meses. Revisa la certeza de la IA en cada identificación.
Evidencia: Ficha «Yo pienso · La IA dice · Lo comprobé»: tu predicción, especie según la IA rotulada «hecho con IA» con su certeza y tabla «Especie · Meses de floración · Horas de luz · Tipo de fotoperíodo». Línea en el registro de uso de IA.
Refuerza con: iNaturalist: observaciones de El Salvador (consulta sin cuenta) (https://www.inaturalist.org)
→ PISA I3 · TIMSS Razonar</t>
    </r>
  </si>
  <si>
    <t>Respeto al medio ambiente, entorno y territorio
Reflexiona sobre cómo la iluminación nocturna excesiva altera el ciclo de plantas y animales del entorno.</t>
  </si>
  <si>
    <r>
      <rPr>
        <rFont val="Arial"/>
        <color theme="1"/>
        <sz val="9.0"/>
      </rPr>
      <t>1.3 Gestión de la información – Básico</t>
    </r>
    <r>
      <rPr>
        <rFont val="Arial"/>
        <color rgb="FF7030A0"/>
        <sz val="9.0"/>
      </rPr>
      <t xml:space="preserve">
Con la IA (DigComp 3.0, nivel real): CS2.1.14 – Avanzado: diseña y mejora de forma sistemática instrucciones para tareas complejas con IA.</t>
    </r>
  </si>
  <si>
    <t>Oficial
Malla 11.° grado, U6 · 6.12</t>
  </si>
  <si>
    <t>Cultivo in vitro de plantas</t>
  </si>
  <si>
    <t>3.13. Preparación de las condiciones para un cultivo in vitro de plantas.</t>
  </si>
  <si>
    <r>
      <rPr>
        <rFont val="Arial"/>
        <color theme="1"/>
        <sz val="9.0"/>
      </rPr>
      <t>Organizar en una hoja de cálculo los conteos de descendientes y calcular automáticamente las frecuencias de recombinación entre cada par de genes.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Calcula tú las frecuencias de recombinación con los datos publicados de tres genes de Drosophila y dibuja el mapa en centimorgan. Luego pídele a Gemini el mismo cálculo dando una instrucción completa: los datos, qué debe calcular y que muestre cada paso. Si no sigue el formato, mejora la instrucción. Compara su orden de genes y sus distancias con los tuyos y localiza cualquier error de suma o de unidades.
Evidencia: Ficha «Yo pienso · La IA dice · Lo comprobé»: en «Yo pienso» tu cálculo y tu mapa; en «La IA dice» tus instrucciones y su solución rotulada «Respuesta de IA»; en «Lo comprobé» tabla «Par de genes · Mi cM · cM de la IA» con el error localizado. Marca ✔/✘ cada dato de la IA y anota una línea en tu registro de uso de IA.
→ PISA D4 · TIMSS Razonar</t>
    </r>
  </si>
  <si>
    <t>E1 · Recuerda el concepto de totipotencia celular y lo aplica a la regeneración de una planta completa a partir de un explante.</t>
  </si>
  <si>
    <t>Uso ético de la información
Reconoce en su informe la autoría de los datos históricos de Morgan y Sturtevant utilizados para construir el mapa.</t>
  </si>
  <si>
    <t>E3 · Predice qué ocurrirá con un cultivo in vitro si el explante no se desinfecta correctamente antes de sembrarlo.</t>
  </si>
  <si>
    <t>E1 · Aplica los requisitos de asepsia, medio nutritivo, reguladores de crecimiento, luz y temperatura al plan de un cultivo in vitro.</t>
  </si>
  <si>
    <t>D3 · Evalúa un protocolo de preparación de cultivo in vitro e identifica los pasos críticos que evitan la contaminación.</t>
  </si>
  <si>
    <t>E6 · Explica cómo los laboratorios de cultivo de tejidos producen plantas sanas de caña, plátano y orquídeas para el país.</t>
  </si>
  <si>
    <t>Genética humana</t>
  </si>
  <si>
    <t>Colaboración (Reforzar)
Elabora con su equipo una lista de verificación de condiciones para iniciar un cultivo in vitro y la revisa en conjunto.</t>
  </si>
  <si>
    <t>Cariotipo
Enfermedades hereditarias
Consejo genético</t>
  </si>
  <si>
    <t>Conocer: identificar condiciones de un cultivo in vitro. Razonar: generalizar los requisitos de asepsia y nutrición</t>
  </si>
  <si>
    <t>4.6. Análisis de cariotipos publicados y de casos ficticios de enfermedades hereditarias en el marco del consejo genético.</t>
  </si>
  <si>
    <t>Lista de verificación de condiciones para iniciar un cultivo in vitro con la justificación de cada requisito</t>
  </si>
  <si>
    <t>3.13. Generaliza las condiciones a tener en cuenta para iniciar un cultivo in vitro de plantas.</t>
  </si>
  <si>
    <t>E6 · Reconoce el papel del consejo genético para que las familias tomen decisiones informadas ante enfermedades hereditarias.</t>
  </si>
  <si>
    <r>
      <rPr>
        <rFont val="Arial"/>
        <color theme="1"/>
        <sz val="9.0"/>
      </rPr>
      <t>3.2 Integración y reelaboración de contenidos digitales – Básico</t>
    </r>
    <r>
      <rPr>
        <rFont val="Arial"/>
        <color rgb="FF7030A0"/>
        <sz val="9.0"/>
      </rPr>
      <t xml:space="preserve">
Con la IA (DigComp 3.0, nivel real): CS1.2.13 – Intermedio: valora qué tan confiable es una fuente, teniendo en cuenta el papel de la IA.</t>
    </r>
  </si>
  <si>
    <t>D1 · Pregunta guía: «¿Qué información puede obtenerse de un cariotipo y qué información no puede revelar?».</t>
  </si>
  <si>
    <t>E2 · Ordena por tamaño y posición del centrómero los cromosomas de un cariotipo publicado y reconoce una trisomía 21.</t>
  </si>
  <si>
    <t>I3 · Argumenta con datos de casos ficticios qué pruebas recomendaría un servicio de consejo genético y qué riesgos estimaría.</t>
  </si>
  <si>
    <t>I5 · Justifica por qué la decisión final en el consejo genético corresponde a la familia informada y no al profesional de la salud.</t>
  </si>
  <si>
    <t>Comunicación (Indagar)
Redacta con lenguaje claro y respetuoso un resumen de consejo genético para una familia ficticia sin términos estigmatizantes.</t>
  </si>
  <si>
    <t>Conocer: identificar cromosomas. Aplicar: interpretar cariotipos. Razonar: argumentar decisiones de consejo genético</t>
  </si>
  <si>
    <r>
      <rPr>
        <rFont val="Arial"/>
        <color theme="1"/>
        <sz val="9.0"/>
      </rPr>
      <t>Integra y reelabora protocolos de cultivo in vitro de fuentes abiertas en una guía propia, adaptada a los materiales del centro escolar.</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tu protocolo casero de cultivo in vitro (frascos hervidos por un adulto de tu familia, gelatina con azúcar, desinfección de semillas con cloro diluido según la etiqueta). Sube al cuaderno de NotebookLM dos guías confiables y pregúntale: «¿Qué pasos son críticos para evitar contaminación y cómo se regenera una planta in vitro? Cita la fuente». Ajusta tu protocolo y registra cuántos frascos se contaminan.
Evidencia: Protocolo con cambios marcados, Respuesta de IA rotulada con citas, tabla «Frasco · Contaminado · Germinó» y declaración de uso de IA («Así usé la IA: … · Lo que revisé yo: …»). Línea en el registro de uso de IA.
→ PISA D3 · TIMSS Razonar</t>
    </r>
  </si>
  <si>
    <t>Cariotipo ordenado con anomalía identificada y resumen escrito de consejo genético de un caso ficticio</t>
  </si>
  <si>
    <t>Uso ético de la información
Reconoce las fuentes de los protocolos que adaptó y señala qué partes son reelaboración propia.
↳ Se trabaja en la actividad digital (DigComp 3.2).</t>
  </si>
  <si>
    <t>4.6. Interpreta un cariotipo humano publicado e identifica anomalías numéricas o estructurales relacionándolas con el síndrome correspondiente.</t>
  </si>
  <si>
    <t>Oficial
Malla 11.° grado, U6 · 6.13</t>
  </si>
  <si>
    <r>
      <rPr>
        <rFont val="Arial"/>
        <color theme="1"/>
        <sz val="9.0"/>
      </rPr>
      <t>4.2 Protección de datos personales y privacidad – Básico</t>
    </r>
    <r>
      <rPr>
        <rFont val="Arial"/>
        <color rgb="FF7030A0"/>
        <sz val="9.0"/>
      </rPr>
      <t xml:space="preserve">
Con la IA (DigComp 3.0, nivel real): CS4.2.13 – Intermedio: describe qué pasa con la privacidad cuando el contenido compartido se usa para entrenar IA.</t>
    </r>
  </si>
  <si>
    <t>3.14. Experimentación con métodos caseros de cultivo in vitro de plantas.</t>
  </si>
  <si>
    <t>E1 · Recuerda las condiciones del cultivo in vitro y las aplica a un montaje casero con frascos de vidrio y medio de agar.</t>
  </si>
  <si>
    <t>D1 · Pregunta guía: «¿Es posible germinar semillas en condiciones asépticas con materiales disponibles en casa y en la escuela?».</t>
  </si>
  <si>
    <t>E2 · Representa en un diagrama de flujo el método casero: medio con agar, azúcar y agua de coco esterilizado por la docente en olla de presión.</t>
  </si>
  <si>
    <t>D2 · Propone un montaje con semillas desinfectadas con hipoclorito diluido preparado por la docente, usando guantes y gafas.</t>
  </si>
  <si>
    <r>
      <rPr>
        <rFont val="Arial"/>
        <color theme="1"/>
        <sz val="9.0"/>
      </rPr>
      <t>Analizar qué datos personales solicitan los servicios digitales de pruebas genéticas y cómo protegen la privacidad de esa información.</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un cariotipo publicado y un caso ficticio de enfermedad hereditaria, escribe tú qué alteración ves y qué preguntas haría un servicio de consejo genético. Pregúntale al cuaderno NotebookLM: «¿Qué hace el consejo genético y quién toma la decisión final?». Compara con tu texto. Escribe por qué nunca debes subir a una IA datos genéticos ni resultados médicos tuyos o de tu familia.
Evidencia: Ficha «Yo pienso · La IA dice · Lo comprobé»: en «Yo pienso» tu análisis del cariotipo y tus preguntas; en «La IA dice» la respuesta rotulada «Respuesta de IA» con su fuente; en «Lo comprobé» tu párrafo sobre la decisión de la familia y la privacidad genética. Marca ✔/✘ cada dato de la IA y anota una línea en tu registro de uso de IA.
→ PISA I5 · TIMSS Aplicar</t>
    </r>
  </si>
  <si>
    <t>Uso ético de la información
Protege la privacidad genética al trabajar solo con cariotipos publicados y casos ficticios, sin nombres ni fotografías reales.
↳ Se trabaja en la actividad digital (DigComp 4.2).</t>
  </si>
  <si>
    <t>U5 - Eje integrador: organización</t>
  </si>
  <si>
    <t>5. Evolución</t>
  </si>
  <si>
    <t>Historia del pensamiento evolutivo</t>
  </si>
  <si>
    <t>Fijismo
Transformismo
Lamarck</t>
  </si>
  <si>
    <t>5.1. Contraste entre las ideas fijistas y el transformismo de Lamarck a partir de textos históricos y ejemplos.</t>
  </si>
  <si>
    <t>Integra evidencias paleontológicas, anatómicas, embriológicas, biogeográficas y moleculares para argumentar el origen común y la diversificación de los seres vivos. Explica la evolución humana en el marco de la síntesis evolutiva moderna.</t>
  </si>
  <si>
    <t>D3 · Evalúa el método a partir del porcentaje de frascos contaminados y germinados y decide qué paso debe mejorarse.</t>
  </si>
  <si>
    <t>Creatividad (Explicar)
Adapta una caja plástica transparente como cámara de siembra casera y explica cómo reduce la contaminación.</t>
  </si>
  <si>
    <t>Conocer: describir los pasos de un método simple de cultivo in vitro. Aplicar: ejecutar un método casero de cultivo in vitro</t>
  </si>
  <si>
    <t>Valoración del carácter provisional y acumulativo del conocimiento científico a partir de la historia del pensamiento evolutivo. Respeto por el patrimonio paleontológico salvadoreño y por la diversidad de creencias al dialogar sobre el origen de los seres vivos.</t>
  </si>
  <si>
    <t>Diagrama de flujo del método casero con registro fotográfico de frascos y porcentaje de germinación y contaminación</t>
  </si>
  <si>
    <t>3.14. Explica un método simple para establecer un cultivo in vitro de plantas.</t>
  </si>
  <si>
    <t>4.3 Cuidado del bienestar – Básico</t>
  </si>
  <si>
    <t>E1 · Recuerda cómo explicaban el origen de las especies naturalistas como Linneo y Cuvier antes del siglo XIX.</t>
  </si>
  <si>
    <t>Organiza pausas activas y cuida la postura durante las sesiones largas de registro y edición del informe fotográfico.</t>
  </si>
  <si>
    <t>D1 · Pregunta guía: «¿Se heredan a los hijos los músculos que desarrolla una persona en el gimnasio?».</t>
  </si>
  <si>
    <t>Respeto al medio ambiente, entorno y territorio
Entrega los frascos contaminados a la docente para su esterilización y no vierte el hipoclorito al suelo.</t>
  </si>
  <si>
    <t>E1 · Explica los principios del uso y desuso y de la herencia de caracteres adquiridos propuestos por Lamarck.</t>
  </si>
  <si>
    <t>Oficial
Malla 11.° grado, U6 · 6.14</t>
  </si>
  <si>
    <t>I1 · Busca y selecciona fragmentos de fuentes históricas traducidas sobre Cuvier y Lamarck y evalúa su fiabilidad.</t>
  </si>
  <si>
    <t>I4 · Critica la explicación lamarckista del cuello de la jirafa señalando qué evidencia experimental la contradice.</t>
  </si>
  <si>
    <t>Pensamiento crítico (Aproximar)
Cuestiona sus propias ideas previas sobre el cambio de las especies e identifica cuáles se parecen al pensamiento de Lamarck.</t>
  </si>
  <si>
    <t>Conocer: describir teorías históricas. Razonar: contrastar explicaciones con evidencia</t>
  </si>
  <si>
    <t>Cuadro comparativo de fijismo y transformismo con una crítica escrita a la herencia de caracteres adquiridos</t>
  </si>
  <si>
    <t>COMUNICACIÓN: Contrastar distintas líneas de evidencia de la evolución, procedentes de fósiles, anatomía, embriología, biogeografía y secuencias moleculares, para construir y comunicar argumentos científicos sobre el origen común y la historia de la vida, incluida la del ser humano.</t>
  </si>
  <si>
    <t>3.15. Caracterización de los métodos para regeneración in vitro de plantas.</t>
  </si>
  <si>
    <t>5.1. Contrasta los postulados del fijismo y del transformismo de Lamarck, y señala las limitaciones de la herencia de caracteres adquiridos.</t>
  </si>
  <si>
    <t>E1 · Recuerda cómo se forma un embrión a partir de la semilla y lo compara con la formación de embriones a partir de células somáticas.</t>
  </si>
  <si>
    <t>E3 · Predice qué órgano se formará en un explante si el medio tiene más citocinina que auxina, y cuál en el caso contrario.</t>
  </si>
  <si>
    <t>La teoría de la evolución es el marco unificador de la biología: explica la diversidad de los seres vivos como resultado de la descendencia con modificación a partir de ancestros comunes. Su solidez proviene de la convergencia de evidencias independientes, desde los fósiles y la distribución geográfica de las especies hasta las secuencias de ADN, y su comprensión es necesaria para la medicina, la agricultura y la conservación de la biodiversidad.</t>
  </si>
  <si>
    <t>E2 · Representa en un esquema las etapas de la organogénesis directa, la indirecta a partir de callo y la embriogénesis somática.</t>
  </si>
  <si>
    <t>D4 · Interpreta datos de tasas de multiplicación en la micropropagación de plátano y calcula cuántas plantas se obtienen en cinco subcultivos.</t>
  </si>
  <si>
    <t>E6 · Explica cómo la regeneración in vitro permite producir plantas libres de virus para los productores salvadoreños.</t>
  </si>
  <si>
    <t>Comunicación (Reforzar)
Explica ante la clase, con su esquema, las diferencias entre los métodos de regeneración in vitro.</t>
  </si>
  <si>
    <t>Conocer: caracterizar métodos de regeneración. Aplicar: calcular tasas de multiplicación</t>
  </si>
  <si>
    <t>Esquema comparativo de métodos de regeneración in vitro con cálculo de la producción de plantas por subcultivo</t>
  </si>
  <si>
    <r>
      <rPr>
        <rFont val="Arial"/>
        <color theme="1"/>
        <sz val="9.0"/>
      </rPr>
      <t>1.2 Evaluación de la información – Básico</t>
    </r>
    <r>
      <rPr>
        <rFont val="Arial"/>
        <color rgb="FF7030A0"/>
        <sz val="9.0"/>
      </rPr>
      <t xml:space="preserve">
Con la IA (DigComp 3.0, nivel real): CS1.2.10 – Intermedio: reconoce que la IA puede dar respuestas equivocadas que parecen ciertas y que quien la usa debe verificarlas.</t>
    </r>
  </si>
  <si>
    <t>3.15. Caracteriza un método de regeneración in vitro de plantas.</t>
  </si>
  <si>
    <t>2.6 Gestión de la identidad digital – Básico</t>
  </si>
  <si>
    <t>Publica su esquema en el aula virtual con un perfil adecuado y sin compartir datos personales innecesarios.</t>
  </si>
  <si>
    <t>Convivir
Comenta con respeto los esquemas de sus compañeros en el aula virtual y aporta sugerencias constructivas.</t>
  </si>
  <si>
    <t>Oficial
Malla 11.° grado, U6 · 6.15</t>
  </si>
  <si>
    <r>
      <rPr>
        <rFont val="Arial"/>
        <color theme="1"/>
        <sz val="9.0"/>
      </rPr>
      <t>Evaluar la fiabilidad de dos sitios web sobre Lamarck, verificando autoría, referencias y exactitud histórica.</t>
    </r>
    <r>
      <rPr>
        <rFont val="Arial"/>
        <color rgb="FF7030A0"/>
        <sz val="9.0"/>
      </rPr>
      <t xml:space="preserve">
IA (Explorar · el estudiante, solo o en pareja).
Herramienta y medio: Gemini (gemini.google.com) con tu cuenta institucional, en el celular, la tableta o la computadora del CRA. Sin internet: usa la respuesta de IA impresa en tu ficha.
Actividad: Escribe con tus palabras cómo explicaría Lamarck el cuello largo de la jirafa y qué diría Cuvier. Pídele a Gemini: «Responde como Lamarck: ¿por qué las jirafas tienen el cuello largo?» y luego «Ahora responde como Cuvier». Compara con fragmentos de sus textos históricos traducidos: ¿la IA inventa frases? Escribe por qué una IA que imita a un científico no es ese científico.
Evidencia: Ficha «Yo pienso · La IA dice · Lo comprobé»: en «Yo pienso» tus dos explicaciones; en «La IA dice» sus dos respuestas rotuladas «Respuesta de IA»; en «Lo comprobé» los fragmentos históricos y las frases que la IA atribuyó sin fuente. Marca ✔/✘ cada dato de la IA y anota una línea en tu registro de uso de IA.
→ PISA D1 · TIMSS Conocer</t>
    </r>
  </si>
  <si>
    <t>Manejo de germoplasma</t>
  </si>
  <si>
    <t>Conservación del germoplasma</t>
  </si>
  <si>
    <t>Uso ético de la información
Distingue en sus fuentes las citas textuales de los autores históricos de las interpretaciones posteriores y las referencia.
↳ Se trabaja en la actividad digital (DigComp 1.2).</t>
  </si>
  <si>
    <t>3.16. Indagación de la importancia de la conservación del germoplasma.</t>
  </si>
  <si>
    <t>E6 · Reflexiona sobre la pérdida de variedades criollas de maíz y frijol que cultivaban sus abuelos.</t>
  </si>
  <si>
    <t>D1 · Pregunta guía: «¿Por qué un país necesita guardar semillas de variedades antiguas si ya tiene variedades mejoradas?».</t>
  </si>
  <si>
    <t>E1 · Aplica los conceptos de germoplasma, conservación in situ y ex situ a los bancos de semillas del CENTA y al banco mundial de Svalbard.</t>
  </si>
  <si>
    <t>I1 · Busca información sobre bancos comunitarios de semillas criollas en El Salvador y su papel ante la sequía.</t>
  </si>
  <si>
    <t>I5 · Justifica la importancia de conservar el germoplasma para el mejoramiento futuro frente al cambio climático.</t>
  </si>
  <si>
    <t>Pensamiento crítico (Aproximar)
Cuestiona si las variedades mejoradas pueden sustituir totalmente a las criollas y argumenta los riesgos de hacerlo.</t>
  </si>
  <si>
    <t>Conocer: definir germoplasma. Razonar: justificar su conservación</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</si>
  <si>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taxones superiores al género (familia, orden, clase) se escriben con inicial mayúscula y sin cursiva. Las edades geológicas se expresan en millones de años (Ma) o miles de años (ka) antes del presente, según la escala de tiempo geológico de la Comisión Internacional de Estratigrafía. Simbología utilizada para la representación de magnitudes de interés en la unidad: t: tiempo, en años, a. t½: vida media o período de semidesintegración de un isótopo, en años. N0: cantidad inicial del isótopo radiactivo. N: cantidad remanente del isótopo. Ma: millones de años. ka: miles de años. ¹⁴C: carbono 14. ⁴⁰K: potasio 40. %: porcentaje de identidad o de diferencias entre secuencias.</t>
  </si>
  <si>
    <t>Ensayo argumentativo sobre la importancia de la conservación del germoplasma con ejemplos salvadoreños</t>
  </si>
  <si>
    <t>3.16. Reconoce la importancia de la conservación del germoplasma.</t>
  </si>
  <si>
    <r>
      <rPr>
        <rFont val="Arial"/>
        <color theme="1"/>
        <sz val="9.0"/>
      </rPr>
      <t>2.3 Participación ciudadana a través de tecnologías digitales – Básico</t>
    </r>
    <r>
      <rPr>
        <rFont val="Arial"/>
        <color rgb="FF7030A0"/>
        <sz val="9.0"/>
      </rPr>
      <t xml:space="preserve">
Con la IA (DigComp 3.0, nivel real): CS1.2.13 – Intermedio: valora qué tan confiable es una fuente, teniendo en cuenta el papel de la IA.</t>
    </r>
  </si>
  <si>
    <t>Darwin y Wallace
Teoría de la selección natural
Descendencia con modificación</t>
  </si>
  <si>
    <r>
      <rPr>
        <rFont val="Arial"/>
        <color theme="1"/>
        <sz val="9.0"/>
      </rPr>
      <t>Participa con datos en una iniciativa ciudadana en línea que registra variedades criollas conservadas por familias agricultoras.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Escribe por qué crees que es importante conservar variedades criollas de maíz, frijol y loroco. Pregúntale a la IA: «¿Qué bancos de germoplasma existen en El Salvador y qué conservan?». Verifica cada institución y dato en sitios oficiales (CENTA, universidades). Marca lo que la IA inventó o no pudiste confirmar y explica el riesgo de usar esa información sin revisar.
Evidencia: Ficha «Yo pienso · La IA dice · Lo comprobé»: tu argumento, Respuesta de IA rotulada y tabla «Dato de la IA · Fuente oficial · ¿Confirmado?». Línea en el registro de uso de IA.
Refuerza con: CENTA (https://www.centa.gob.sv)
→ PISA I5 · TIMSS Aplicar</t>
    </r>
  </si>
  <si>
    <t>5.2. Análisis de los postulados de la teoría de la selección natural y del contexto histórico de su formulación por Darwin y Wallace.</t>
  </si>
  <si>
    <t>Respeto al medio ambiente, entorno y territorio
Valora las variedades criollas como patrimonio biológico y cultural del territorio salvadoreño.</t>
  </si>
  <si>
    <t>Oficial
Malla 11.° grado, U6 · 6.16</t>
  </si>
  <si>
    <t>E6 · Valora cómo los viajes de Darwin en el Beagle y de Wallace por la Amazonía y el archipiélago malayo transformaron la biología.</t>
  </si>
  <si>
    <t>Almacenamiento de semillas</t>
  </si>
  <si>
    <t>E5 · Formula una hipótesis sobre por qué dos naturalistas llegaron por separado a la misma teoría en 1858.</t>
  </si>
  <si>
    <t>3.17. Experimentación con métodos de almacenamiento de semillas.</t>
  </si>
  <si>
    <t>E4 · Construye un modelo de los postulados de variación, herencia, sobreproducción y supervivencia diferencial que conducen a la selección natural.</t>
  </si>
  <si>
    <t>I1 · Consulta fragmentos de «El origen de las especies» y de la carta de Wallace de 1858 en archivos digitales abiertos.</t>
  </si>
  <si>
    <t>Pl@ntNet</t>
  </si>
  <si>
    <t>E1 · Recuerda la estructura de la semilla y la aplica para explicar por qué el embrión permanece latente durante el almacenamiento.</t>
  </si>
  <si>
    <t>E3 · Predice cómo cambiaría una población de escarabajos de colores ante un nuevo depredador y justifica su predicción con los postulados.</t>
  </si>
  <si>
    <t>E5 · Plantea una hipótesis sobre cómo la humedad y la temperatura de almacenamiento afectan el porcentaje de germinación del frijol.</t>
  </si>
  <si>
    <t>Comunicación (Explicar)
Presenta en una línea de tiempo narrada la secuencia de observaciones que llevaron a Darwin y Wallace a la selección natural.</t>
  </si>
  <si>
    <t>E1 · Aplica las condiciones de secado, temperatura baja, envase hermético y control de plagas al almacenamiento de semillas.</t>
  </si>
  <si>
    <t>Gratis</t>
  </si>
  <si>
    <t>Conocer: enunciar postulados. Razonar: explicar el cambio evolutivo con la selección natural</t>
  </si>
  <si>
    <t>Todo público</t>
  </si>
  <si>
    <t>D2 · Propone un diseño con lotes de semillas guardadas en frascos herméticos y en bolsas abiertas, con prueba de germinación posterior.</t>
  </si>
  <si>
    <t>Línea de tiempo narrada con los postulados de la selección natural y citas de las obras originales</t>
  </si>
  <si>
    <t>Funciona sin internet</t>
  </si>
  <si>
    <t>D3 · Evalúa con el porcentaje de germinación de cada lote si su diseño demuestra qué condición conservó mejor la viabilidad.</t>
  </si>
  <si>
    <t>reconoce plantas por foto</t>
  </si>
  <si>
    <t>5.2. Explica los postulados de la teoría de la selección natural y el aporte independiente de Darwin y Wallace a su formulación.</t>
  </si>
  <si>
    <t>10.° 2.12, 10.° 7.5, 10.° 8.4, 11.° 3.1, 11.° 3.12, 11.° 5.2, 11.° 5.5, 11.° 5.8, 11.° 6.4, 11.° 8.6</t>
  </si>
  <si>
    <t>Colaboración (Explorar)
Acuerda con su equipo los lotes, las condiciones y el calendario de la prueba de germinación y reparte las tareas.</t>
  </si>
  <si>
    <t>Conocer: describir las condiciones adecuadas de almacenamiento de semillas. Aplicar: calcular porcentajes de germinación</t>
  </si>
  <si>
    <t>Informe con diseño, tabla de germinación por condición de almacenamiento y recomendaciones para un banco comunitario</t>
  </si>
  <si>
    <r>
      <rPr>
        <rFont val="Arial"/>
        <color theme="1"/>
        <sz val="9.0"/>
      </rPr>
      <t>3.3 Derechos de autor y licencias – Básico</t>
    </r>
    <r>
      <rPr>
        <rFont val="Arial"/>
        <color rgb="FF7030A0"/>
        <sz val="9.0"/>
      </rPr>
      <t xml:space="preserve">
Con la IA (DigComp 3.0, nivel real): CS1.2.13 – Intermedio: valora qué tan confiable es una fuente, teniendo en cuenta el papel de la IA.</t>
    </r>
  </si>
  <si>
    <t>3.17. Explica las condiciones a tener en cuenta para el almacenamiento adecuado de semillas.</t>
  </si>
  <si>
    <r>
      <rPr>
        <rFont val="Arial"/>
        <color theme="1"/>
        <sz val="9.0"/>
      </rPr>
      <t>Seleccionar para la línea de tiempo imágenes históricas de dominio público o con licencia abierta y registrar su licencia.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tú los postulados de la selección natural y predice qué pasará con una población de escarabajos de colores ante un nuevo depredador. Prueba tu predicción en el simulador de selección natural. Luego sube al cuaderno NotebookLM fragmentos de «El origen de las especies» y de la carta de Wallace de 1858 y pregúntale: «¿En qué coinciden Darwin y Wallace?». Verifica cada cita en el texto original.
Evidencia: Ficha «Yo pienso · La IA dice · Lo comprobé»: en «Yo pienso» tus postulados y tu predicción; en «La IA dice» las coincidencias rotuladas «Respuesta de IA»; en «Lo comprobé» la gráfica del simulador y cada cita marcada como encontrada o no. Marca ✔/✘ cada dato de la IA y anota una línea en tu registro de uso de IA.
Refuerza con: PhET «Selección natural» (https://phet.colorado.edu/sims/html/natural-selection/latest/natural-selection_es.html)
→ PISA E3 · TIMSS Aplicar</t>
    </r>
  </si>
  <si>
    <t>Uso ético de la información
Respeta los derechos de autor al usar solo imágenes y textos de dominio público o con licencia abierta correctamente atribuidos.
↳ Se trabaja en la actividad digital (DigComp 3.3).</t>
  </si>
  <si>
    <r>
      <rPr>
        <rFont val="Arial"/>
        <color theme="1"/>
        <sz val="9.0"/>
      </rPr>
      <t>2.2 Compartir a través de tecnologías digitales – Básico</t>
    </r>
    <r>
      <rPr>
        <rFont val="Arial"/>
        <color rgb="FF7030A0"/>
        <sz val="9.0"/>
      </rPr>
      <t xml:space="preserve">
Con la IA (DigComp 3.0, nivel real): CS1.2.08 – Intermedio: reconoce que los datos con que se entrena una IA influyen en qué tan confiable es.</t>
    </r>
  </si>
  <si>
    <t>Seek (iNaturalist)</t>
  </si>
  <si>
    <t>Gratis; sin cuenta</t>
  </si>
  <si>
    <t>Evidencias de la evolución</t>
  </si>
  <si>
    <t>Pensada para familias; sin registro</t>
  </si>
  <si>
    <t>Estructuras homólogas
Estructuras análogas
Estructuras vestigiales</t>
  </si>
  <si>
    <t>reconoce plantas, animales y hongos con la cámara</t>
  </si>
  <si>
    <r>
      <rPr>
        <rFont val="Arial"/>
        <color theme="1"/>
        <sz val="9.0"/>
      </rPr>
      <t>Comparte en el aula virtual la tabla de germinación con los demás equipos en un formato que todos puedan abrir y editar.</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Guarda frijoles en tres condiciones: frasco cerrado con ceniza, bolsa abierta y frasco en lugar húmedo. Predice cuál tendrá más daño. Tras unas semanas, entrena Teachable Machine con fotos de «semilla sana» y «semilla dañada» (gorgojo o moho) y úsalo para clasificar muestras de cada método. Comprueba a mano 20 semillas por método y compara con el modelo. Haz además una prueba de germinación.
Evidencia: Ficha «Yo pienso · La IA dice · Lo comprobé»: predicción, tabla «Método · % dañadas según el modelo · % dañadas a mano · % germinación», rotula «hecho con IA». Línea en el registro de uso de IA.
Refuerza con: Teachable Machine (https://teachablemachine.withgoogle.com)
→ PISA D2 · TIMSS Razonar</t>
    </r>
  </si>
  <si>
    <t>10.° 2.13, 10.° 5.4, 10.° 5.6, 10.° 6.3, 11.° 1.9, 11.° 4.12, 11.° 5.7, 11.° 7.1, 11.° 8.5</t>
  </si>
  <si>
    <t>Convivir
Promueve el intercambio respetuoso de semillas y conocimientos con las familias agricultoras de su comunidad.</t>
  </si>
  <si>
    <t>Oficial
Malla 11.° grado, U6 · 6.17</t>
  </si>
  <si>
    <t>5.3. Comparación de estructuras anatómicas de distintas especies para diferenciar homologías, analogías y estructuras vestigiales.</t>
  </si>
  <si>
    <t>Manejo de plagas</t>
  </si>
  <si>
    <t>Desinfectantes y repelentes
Plaguicidas</t>
  </si>
  <si>
    <t>3.18. Clasificación de los agroquímicos para el control de plagas según su uso y etiquetado de seguridad.</t>
  </si>
  <si>
    <t>E6 · Reflexiona sobre los riesgos para la salud y el ambiente del uso de plaguicidas en cultivos cercanos a su comunidad.</t>
  </si>
  <si>
    <t>D1 · Pregunta guía: «¿Qué información de la etiqueta de un agroquímico indica su peligrosidad y su forma segura de uso?».</t>
  </si>
  <si>
    <t>E1 · Observa esquemas del miembro anterior del ser humano, el murciélago, la ballena y el caballo e identifica huesos comunes.</t>
  </si>
  <si>
    <t>E1 · Aplica la clasificación por uso, como insecticida, herbicida, fungicida, repelente o desinfectante, a imágenes de etiquetas sin manipular los productos.</t>
  </si>
  <si>
    <t>I3 · Argumenta con la franja de color toxicológico, los pictogramas y las fichas de seguridad qué agroquímicos representan mayor riesgo.</t>
  </si>
  <si>
    <t>E5 · Propone una hipótesis que explique por qué el ala del murciélago y el ala de la mariposa cumplen la misma función con estructuras distintas.</t>
  </si>
  <si>
    <t>I5 · Justifica por qué el manejo integrado de plagas reduce la dependencia de plaguicidas y protege a los polinizadores.</t>
  </si>
  <si>
    <t>Teachable Machine (Google)</t>
  </si>
  <si>
    <t>E2 · Colorea en un esquema los huesos homólogos del húmero, radio, cúbito y falanges en cuatro vertebrados.</t>
  </si>
  <si>
    <t>Pensamiento crítico (Explicar)
Analiza críticamente la información de etiquetas e identifica advertencias de seguridad que suelen pasarse por alto.</t>
  </si>
  <si>
    <t>I3 · Argumenta con ejemplos como el apéndice, el coxis y los huesos pélvicos de las ballenas por qué las estructuras vestigiales apoyan la evolución.</t>
  </si>
  <si>
    <t>Conocer: clasificar agroquímicos por uso. Aplicar: interpretar el etiquetado de seguridad</t>
  </si>
  <si>
    <t>No indicada; usar en computadora con Chrome</t>
  </si>
  <si>
    <t>E3 · Predice si las aletas del tiburón y del delfín son homólogas o análogas y justifica su respuesta con la anatomía interna.</t>
  </si>
  <si>
    <t>Tabla de clasificación de agroquímicos a partir de imágenes de etiquetas con franja toxicológica, pictogramas y riesgos</t>
  </si>
  <si>
    <t>entrenar un modelo de IA con imágenes, sonidos o posturas</t>
  </si>
  <si>
    <t>Colaboración (Explorar)
Coordina con su equipo la observación de esqueletos o modelos de vertebrados del laboratorio y distribuye el registro de estructuras.</t>
  </si>
  <si>
    <t>10.° 1.4, 10.° 2.7, 10.° 6.2, 11.° 2.6, 11.° 3.2, 11.° 3.17, 11.° 4.5</t>
  </si>
  <si>
    <t>3.18. Clasifica agroquímicos para el control de plagas por su uso y etiquetado de seguridad.</t>
  </si>
  <si>
    <t>Conocer: identificar estructuras. Razonar: inferir relaciones evolutivas a partir de la anatomía</t>
  </si>
  <si>
    <t>Tabla clasificatoria de ocho pares de estructuras con esquemas coloreados y justificación de cada caso</t>
  </si>
  <si>
    <r>
      <rPr>
        <rFont val="Arial"/>
        <color theme="1"/>
        <sz val="9.0"/>
      </rPr>
      <t>1.2 Evaluación de la información – Básico</t>
    </r>
    <r>
      <rPr>
        <rFont val="Arial"/>
        <color rgb="FF7030A0"/>
        <sz val="9.0"/>
      </rPr>
      <t xml:space="preserve">
Con la IA (DigComp 3.0, nivel real): CS4.3.04 – Básico: reconoce los límites de la IA para cuidar la salud y el bienestar.</t>
    </r>
  </si>
  <si>
    <t>5.4. Clasifica estructuras anatómicas en homólogas, análogas o vestigiales y explica qué relación evolutiva evidencia cada tipo.</t>
  </si>
  <si>
    <r>
      <rPr>
        <rFont val="Arial"/>
        <color theme="1"/>
        <sz val="9.0"/>
      </rPr>
      <t>2.4 Colaboración a través de tecnologías digitales – Básico</t>
    </r>
    <r>
      <rPr>
        <rFont val="Arial"/>
        <color rgb="FF7030A0"/>
        <sz val="9.0"/>
      </rPr>
      <t xml:space="preserve">
Con la IA (DigComp 3.0, nivel real): CS1.2.08 – Intermedio: reconoce que los datos con que se entrena una IA influyen en qué tan confiable es.</t>
    </r>
  </si>
  <si>
    <r>
      <rPr>
        <rFont val="Arial"/>
        <color theme="1"/>
        <sz val="9.0"/>
      </rPr>
      <t>Evalúa la fiabilidad de fichas de datos de seguridad y de publicaciones sobre plaguicidas, distinguiendo fuentes oficiales de publicidad.</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Sin tocar envases de plaguicidas, busca en fuentes oficiales imágenes de etiquetas y escribe cómo crees que se clasifican por uso (insecticida, fungicida, herbicida) y por la franja de color de toxicidad. Sube al cuaderno de NotebookLM la norma de etiquetado y fichas oficiales y pregúntale: «¿Qué indica cada franja de color y qué información obligatoria lleva la etiqueta? Cita la fuente». La IA nunca decide qué aplicar o mezclar.
Evidencia: Ficha «Yo pienso · La IA dice · Lo comprobé»: tu clasificación, Respuesta de IA rotulada con cita y cuadro «Franja · Significado · Precauciones». Línea en el registro de uso de IA.
Refuerza con: CENTA (https://www.centa.gob.sv)
→ PISA E1 · TIMSS Aplicar</t>
    </r>
  </si>
  <si>
    <t>Respeto al medio ambiente, entorno y territorio
Explica el triple lavado y la entrega de envases vacíos de agroquímicos en centros de acopio autorizados.</t>
  </si>
  <si>
    <t>Global Nature Watch (antes Global Forest Watch)</t>
  </si>
  <si>
    <t>Oficial
Malla 11.° grado, U6 · 6.18</t>
  </si>
  <si>
    <r>
      <rPr>
        <rFont val="Arial"/>
        <color theme="1"/>
        <sz val="9.0"/>
      </rPr>
      <t>Construir en un documento colaborativo en línea la tabla de estructuras anatómicas, con comentarios y revisiones entre integrantes.</t>
    </r>
    <r>
      <rPr>
        <rFont val="Arial"/>
        <color rgb="FF7030A0"/>
        <sz val="9.0"/>
      </rPr>
      <t xml:space="preserve">
IA (Indagar · el estudiante, solo o en pareja).
Herramienta y medio: app Seek (gratis, sin crear cuenta) en el celular o la tableta.
Actividad: Con Seek, identifica desde lejos un ave, un insecto volador y, si lo hay, un murciélago en fotos de tu patio o de iNaturalist. Antes, clasifica tú sus alas como homólogas o análogas entre sí y justifícalo con la anatomía interna. Después compara la clasificación taxonómica que muestra Seek con tu respuesta. Agrega un ejemplo de estructura vestigial y explica por qué apoya un ancestro común.
Evidencia: Ficha «Yo pienso · La IA dice · Lo comprobé»: en «Yo pienso» tu tabla «Organismo · Ala · Homóloga o análoga»; en «La IA dice» la especie y el grupo que dio Seek rotulados «Respuesta de IA»; en «Lo comprobé» tu esquema de huesos de las alas. Marca ✔/✘ cada dato de la IA y anota una línea en tu registro de uso de IA.
Refuerza con: iNaturalist: observaciones de El Salvador (consulta sin cuenta) (https://www.inaturalist.org)
→ PISA I3 · TIMSS Razonar</t>
    </r>
  </si>
  <si>
    <t>No indicada</t>
  </si>
  <si>
    <t>mapas satelitales de bosques analizados con IA</t>
  </si>
  <si>
    <t>Convivir
Respeta las aportaciones de cada integrante en el documento colaborativo y resuelve los desacuerdos mediante la evidencia anatómica.
↳ Se trabaja en la actividad digital (DigComp 2.4).</t>
  </si>
  <si>
    <t>10.° 6.5, 10.° 8.6, 11.° 1.5, 11.° 7.7, 11.° 8.3</t>
  </si>
  <si>
    <t>Homología de secuencias
Citocromo c
Reloj molecular</t>
  </si>
  <si>
    <t>5.4. Comparación de secuencias de proteínas conservadas entre especies para estimar su grado de parentesco.</t>
  </si>
  <si>
    <t>4. Bases genéticas de la evolución</t>
  </si>
  <si>
    <t>E1 · Recuerda que el ADN y el código genético son compartidos por todos los seres vivos, como vio en la unidad de biología celular.</t>
  </si>
  <si>
    <t>Material genético y genoma</t>
  </si>
  <si>
    <t>Tamaño del genoma
Ploidía</t>
  </si>
  <si>
    <t>D1 · Pregunta guía: «¿Por qué el citocromo c del ser humano se parece más al del chimpancé que al de la levadura?».</t>
  </si>
  <si>
    <t>4.1. Demostración de las diferencias en cuanto al tamaño del genoma y ploidía entre especies.</t>
  </si>
  <si>
    <t>E4 · Explica el modelo del reloj molecular: las diferencias en secuencias se acumulan de forma aproximadamente proporcional al tiempo.</t>
  </si>
  <si>
    <t>Identifica el patrón de herencia de un rasgo. Advierte la ocurrencia del ligamiento genético.</t>
  </si>
  <si>
    <t>D4 · Cuenta diferencias de aminoácidos en secuencias publicadas de citocromo c y ordena seis especies según su parentesco con el ser humano.</t>
  </si>
  <si>
    <t>E3 · Predice el número de diferencias esperado para una especie nueva según su posición evolutiva y justifica su estimación.</t>
  </si>
  <si>
    <t>BirdNET (Cornell)</t>
  </si>
  <si>
    <t>Comunicación (Indagar)
Comunica sus resultados en una tabla de diferencias y un párrafo que relacione la evidencia molecular con la anatómica.</t>
  </si>
  <si>
    <t>Aplicar: contar y comparar diferencias. Razonar: inferir parentesco a partir de datos moleculares</t>
  </si>
  <si>
    <t>Matriz de diferencias de aminoácidos del citocromo c entre seis especies con interpretación escrita</t>
  </si>
  <si>
    <t>reconoce aves por su canto</t>
  </si>
  <si>
    <t>10.° 3.4, 11.° 1.11, 11.° 5.9, 11.° 7.5</t>
  </si>
  <si>
    <t>5.7. Estima el grado de parentesco entre especies a partir del número de diferencias en la secuencia de aminoácidos del citocromo c.</t>
  </si>
  <si>
    <t>Rigurosidad al representar y explicar los procesos celulares y mecanismos evolutivos. Valoración ética de las prácticas para el mejoramiento genético, tales como selección artificial, hibridación, transgénesis y edición genética.</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</si>
  <si>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</si>
  <si>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t>E1 · Recuerda lo visto en 7.° sobre cromosomas y compara el número de cromosomas del ser humano, del maíz y del café arábigo.</t>
  </si>
  <si>
    <r>
      <rPr>
        <rFont val="Arial"/>
        <color theme="1"/>
        <sz val="9.0"/>
      </rPr>
      <t>Programar en una hoja de cálculo o en Python sencillo un algoritmo que compare dos secuencias posición por posición y cuente las diferencias.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Cuenta tú las diferencias de aminoácidos entre las secuencias publicadas de citocromo c de seis especies y ordénalas por parentesco con el ser humano. Luego pregúntale a Gemini: «¿Cuántas diferencias de aminoácidos hay entre el citocromo c humano y el de cada una de estas especies?». Compara sus números con tus conteos: la IA no tiene tus secuencias y puede inventar cifras.
Evidencia: Ficha «Yo pienso · La IA dice · Lo comprobé»: en «Yo pienso» tu tabla de conteos y tu orden; en «La IA dice» sus cifras rotuladas «Respuesta de IA»; en «Lo comprobé» tabla «Especie · Mi conteo · IA» con ✔/✘ y tu árbol de parentesco. Marca ✔/✘ cada dato de la IA y anota una línea en tu registro de uso de IA.
→ PISA D4 · TIMSS Razonar</t>
    </r>
  </si>
  <si>
    <t>E5 · Formula una hipótesis sobre si un genoma más grande implica necesariamente un organismo más complejo, a partir de ejemplos dados.</t>
  </si>
  <si>
    <t>Convivir
Revisa con respeto el algoritmo de otro equipo y comunica los errores encontrados de forma constructiva.
↳ Se trabaja en la actividad digital (DigComp 3.4).</t>
  </si>
  <si>
    <t>E2 · Construye un gráfico de barras en escala logarítmica con el tamaño del genoma, en pares de bases, de diez especies.</t>
  </si>
  <si>
    <t>I3 · Argumenta con los datos del gráfico que el tamaño del genoma no se correlaciona con la complejidad del organismo («paradoja del valor C»).</t>
  </si>
  <si>
    <t>Climate TRACE</t>
  </si>
  <si>
    <t>E6 · Explica por qué la poliploidía del café arábigo y del trigo es relevante para el mejoramiento de cultivos en la región.</t>
  </si>
  <si>
    <t>Pensamiento crítico (Explicar)
Contrasta la hipótesis inicial con los datos del gráfico y señala qué evidencia la contradice.</t>
  </si>
  <si>
    <t>No indicada; sin cuenta</t>
  </si>
  <si>
    <t>Conocer: reconocer niveles de ploidía. Aplicar: representar datos en escala logarítmica. Razonar: justificar la ausencia de correlación entre tamaño del genoma y complejidad</t>
  </si>
  <si>
    <t>emisiones estimadas con satélites e IA</t>
  </si>
  <si>
    <t>Gráfico en escala logarítmica del tamaño del genoma de diez especies con conclusión argumentada sobre la paradoja del valor C</t>
  </si>
  <si>
    <t>10.° 8.3, 10.° 8.5, 11.° 1.7</t>
  </si>
  <si>
    <t>6. Termodinámica y sistemas vivos</t>
  </si>
  <si>
    <t>CREATIVIDAD: Manipular herramientas de búsqueda, representación y simulación virtual de procesos genéticos o celulares como medios para explicar el funcionamiento general de los mecanismos evolutivos clásicos o de edición y transferencia genética horizontal.</t>
  </si>
  <si>
    <t>Metabolismo energético del organismo</t>
  </si>
  <si>
    <t>Tasa metabólica
Calorimetría indirecta
Cociente respiratorio</t>
  </si>
  <si>
    <t>6.2. Medición indirecta de la tasa metabólica de semillas en germinación a partir de la producción de dióxido de carbono.</t>
  </si>
  <si>
    <t>4.1. Reconoce las discrepancias en cuanto al tamaño del genoma y la ploidía entre especies.</t>
  </si>
  <si>
    <t>El material genético contiene las instrucciones necesarias para dirigir el comportamiento de las células. Ciertos factores ambientales y procesos internos de un organismo son susceptibles de alterar el material genético, lo que repercute tanto en el comportamiento celular de los individuos como en la composición genética de las poblaciones.</t>
  </si>
  <si>
    <t>E1 · Recuerda que la respiración celular consume oxígeno y libera dióxido de carbono en proporciones que dependen del combustible.</t>
  </si>
  <si>
    <t>D1 · Pregunta guía: «¿Cómo se puede medir cuánta energía usa un ser vivo sin quemarlo en un calorímetro?».</t>
  </si>
  <si>
    <t>E1 · Explica el cociente respiratorio (CR = VCO2/VO2) y por qué vale cerca de 1.0 para carbohidratos y 0.7 para lípidos.</t>
  </si>
  <si>
    <t>Google Flood Hub</t>
  </si>
  <si>
    <t>D2 · Diseña un montaje con semillas de frijol germinando en un recipiente cerrado con sensor de CO2 y un control con semillas secas.</t>
  </si>
  <si>
    <t>D3 · Evalúa las fuentes de error de su montaje, como fugas o cambios de temperatura, y propone mejoras al diseño.</t>
  </si>
  <si>
    <r>
      <rPr>
        <rFont val="Arial"/>
        <color theme="1"/>
        <sz val="9.0"/>
      </rPr>
      <t>1.1 Navegación, búsqueda y filtrado de información – Básico</t>
    </r>
    <r>
      <rPr>
        <rFont val="Arial"/>
        <color rgb="FF7030A0"/>
        <sz val="9.0"/>
      </rPr>
      <t xml:space="preserve">
Con la IA (DigComp 3.0, nivel real): CS1.2.10 – Intermedio: reconoce que la IA puede dar respuestas equivocadas que parecen ciertas y que quien la usa debe verificarlas.</t>
    </r>
  </si>
  <si>
    <t>Colaboración (Indagar)
Distribuye con su equipo los turnos de registro del sensor y de control de temperatura durante el experimento de germinación.</t>
  </si>
  <si>
    <t>Aplicar: calcular tasas de producción de CO2. Razonar: evaluar un diseño experimental</t>
  </si>
  <si>
    <t>pronóstico de inundaciones con IA</t>
  </si>
  <si>
    <t>10.° 8.2, 11.° 1.6</t>
  </si>
  <si>
    <t>Informe de laboratorio con gráfica de CO2 frente al tiempo, cálculo de la tasa metabólica y evaluación del diseño</t>
  </si>
  <si>
    <t>6.2. Estima la tasa metabólica de un organismo a partir de datos de intercambio de gases y el cociente respiratorio.</t>
  </si>
  <si>
    <r>
      <rPr>
        <rFont val="Arial"/>
        <color theme="1"/>
        <sz val="9.0"/>
      </rPr>
      <t>Buscar y filtrar en la base de datos Genome del NCBI el tamaño del genoma y el número de cromosomas de diez especies.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Predice qué organismo tiene el genoma más grande: humano, maíz, frijol, cebolla, una bacteria y un helecho. Pregúntale a la IA: «Ordena estos organismos por tamaño de genoma y ploidía». Luego busca cada dato tú mismo en la base de datos de genomas del NCBI. Compara: ¿la IA acertó el orden?, ¿dio cifras que no coinciden? Explica por qué el tamaño del genoma no indica complejidad.
Evidencia: Ficha «Yo pienso · La IA dice · Lo comprobé»: tu orden, Respuesta de IA rotulada y tabla «Organismo · Dato de la IA · Dato del NCBI · Ploidía». Línea en el registro de uso de IA.
→ PISA I3 · TIMSS Razonar</t>
    </r>
  </si>
  <si>
    <t>Uso ético de la información
Registra para cada dato el nombre de la base consultada, el número de acceso y la fecha de consulta.
↳ Se trabaja en la actividad digital (DigComp 1.1).</t>
  </si>
  <si>
    <r>
      <rPr>
        <rFont val="Arial"/>
        <color theme="1"/>
        <sz val="9.0"/>
      </rPr>
      <t>5.1 Identificación y resolución de problemas técnicos – Básico</t>
    </r>
    <r>
      <rPr>
        <rFont val="Arial"/>
        <color rgb="FF7030A0"/>
        <sz val="9.0"/>
      </rPr>
      <t xml:space="preserve">
Con la IA (DigComp 3.0, nivel real): CS1.2.08 – Intermedio: reconoce que los datos con que se entrena una IA influyen en qué tan confiable es.</t>
    </r>
  </si>
  <si>
    <t>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No se recomienda emplear las notaciones
para aminoácidos ambiguos ni para bases nitrogenadas degeneradas.^8
Además de las unidades del SI, se podrán utilizar las siguientes unidades de medida de uso común en las bases de datos y simuladores biológicos:
Å: ámstrong, unidad de longitud equivalente a 0.1 nm.^6
pb: par de bases, unidad utilizada para expresar la longitud de una secuencia de nucleótidos, equivale a aproximadamente 3.4 Å .
kb o kpb: kilobase, unidad de longitud de secuencia de nucleótidos equivalente a 1000 pb.
Mb o Mpb: megabase, unidad de longitud de secuencia de nucleótidos equivalente a 1 000 000 pb.
Gb o Gpb: gigabase, unidad de longitud de secuencia de nucleótidos equivalente a 1 000 000 000 pb.
nt: nucleótido(s), puede emplearse como medida del número de nucleótidos de una secuencia monocatenaria.</t>
  </si>
  <si>
    <t>Simuladores PhET (no son IA)</t>
  </si>
  <si>
    <t>Gratis; sin cuenta; en español</t>
  </si>
  <si>
    <t>—</t>
  </si>
  <si>
    <t>Se pueden descargar</t>
  </si>
  <si>
    <t>Comprobar con un modelo lo que dice la IA; enlace exacto en cada tema</t>
  </si>
  <si>
    <t>10.° 2.2, 10.° 2.13, 10.° 2.14, 10.° 5.2, 10.° 5.3, 10.° 8.3, 11.° 1.8, 11.° 2.9, 11.° 3.9, 11.° 4.7, 11.° 4.12, 11.° 6.1, 11.° 6.5, 11.° 6.6, 11.° 8.2, 11.° 8.4</t>
  </si>
  <si>
    <r>
      <rPr>
        <rFont val="Arial"/>
        <color theme="1"/>
        <sz val="9.0"/>
      </rPr>
      <t>Resolver problemas técnicos del sensor de CO2, como la calibración inicial o la pérdida de conexión con el teléfono, durante la medición.</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Monta dos frascos cerrados con azul de bromotimol diluido: uno con semillas de frijol germinando y otro con semillas secas como control. Predice el cambio de color. Toma fotos del indicador cada 30 minutos y entrena en Teachable Machine tres clases (azul, verde, amarillo). Compara lo que dice el modelo con tu observación y con una tabla de colores. Explica qué fuentes de error (luz, fugas, temperatura) confunden al modelo y a tu medición.
Evidencia: Ficha «Yo pienso · La IA dice · Lo comprobé»: en «Yo pienso» tu predicción; en «La IA dice» la clase del modelo rotulada «Respuesta de IA»; en «Lo comprobé» tabla «Tiempo · Color observado · Clase del modelo» por frasco y tus fuentes de error. Marca ✔/✘ cada dato de la IA y anota una línea en tu registro de uso de IA.
→ PISA D2 · TIMSS Razonar</t>
    </r>
  </si>
  <si>
    <t>Respeto al medio ambiente, entorno y territorio
Siembra en el huerto escolar las semillas germinadas al terminar el experimento en lugar de desecharlas.</t>
  </si>
  <si>
    <t>Oficial
Malla 11.° grado, U3 · 3.1</t>
  </si>
  <si>
    <t>Propiedades y organización</t>
  </si>
  <si>
    <t>4.2. Comprobación de las propiedades fisicoquímicas del material genético y la organización cromosómica del ADN.</t>
  </si>
  <si>
    <t>Endotermos y ectotermos
Zona termoneutral
Comportamiento termorregulador</t>
  </si>
  <si>
    <t>Grok (xAI) — solo si la escuela tiene acceso por el programa nacional</t>
  </si>
  <si>
    <t>6.3. Análisis de datos publicados de temperatura corporal y consumo de oxígeno de endotermos y ectotermos frente a la temperatura ambiental.</t>
  </si>
  <si>
    <t>Opcional</t>
  </si>
  <si>
    <t>Acceso por el convenio Gobierno de El Salvador–xAI (11-dic-2025)</t>
  </si>
  <si>
    <t>13 años o más; de 13 a 17 con permiso de madre, padre o tutor</t>
  </si>
  <si>
    <t>E1 · Observa por qué el garrobo (Ctenosaura similis) se asolea sobre las rocas por la mañana mientras un perro busca la sombra.</t>
  </si>
  <si>
    <t>Opcional; siempre con Gemini como alternativa gratuita</t>
  </si>
  <si>
    <t>E3 · Predice cómo cambiará la temperatura corporal de un garrobo y de un ratón si la temperatura ambiente baja de 30 °C a 15 °C.</t>
  </si>
  <si>
    <t>E2 · Interpreta gráficas de temperatura corporal y de consumo de oxígeno frente a la temperatura ambiente e identifica la zona termoneutral.</t>
  </si>
  <si>
    <t>D4 · Analiza datos publicados de mamíferos y reptiles y concluye qué costo energético implica mantener constante la temperatura.</t>
  </si>
  <si>
    <t>E1 · Recuerda la estructura de doble hélice del ADN y los tipos de enlaces que mantienen unidas sus dos hebras.</t>
  </si>
  <si>
    <t>E6 · Relaciona las estrategias de termorregulación con la vulnerabilidad de los reptiles salvadoreños ante el aumento de temperaturas.</t>
  </si>
  <si>
    <t>D1 · Pregunta guía: «¿Qué propiedades del ADN permiten separarlo de las demás moléculas de una célula vegetal?».</t>
  </si>
  <si>
    <t>Creatividad (Reforzar)
Diseña una infografía original que compare con ejemplos salvadoreños las estrategias fisiológicas y conductuales de termorregulación.</t>
  </si>
  <si>
    <t>E4 · Utiliza el modelo de empaquetamiento (ADN, nucleosomas, cromatina y cromosoma) para explicar cómo cabe el ADN en el núcleo.</t>
  </si>
  <si>
    <t>Aplicar: interpretar gráficas fisiológicas. Razonar: comparar estrategias de termorregulación</t>
  </si>
  <si>
    <t>D4 · Extrae ADN de cebolla con sal, detergente y alcohol frío que dispensa la docente, y relaciona cada paso con una propiedad fisicoquímica.</t>
  </si>
  <si>
    <t>Infografía comparativa de termorregulación con dos gráficas interpretadas de endotermos y ectotermos</t>
  </si>
  <si>
    <t>D3 · Evalúa qué variables del procedimiento de extracción podrían mejorar el rendimiento y cómo controlarlas en una repetición.</t>
  </si>
  <si>
    <t>Colaboración (Indagar)
Distribuye en el equipo los roles de preparación, medición, registro y limpieza durante la extracción de ADN.</t>
  </si>
  <si>
    <t>6.3. Explica con gráficas de temperatura corporal y tasa metabólica las diferencias en la termorregulación de endotermos y ectotermos.</t>
  </si>
  <si>
    <t>Conocer: describir la organización cromosómica. Aplicar: relacionar pasos de una extracción con propiedades del ADN</t>
  </si>
  <si>
    <t>Informe de la extracción de ADN que relaciona cada reactivo con la propiedad fisicoquímica aprovechada</t>
  </si>
  <si>
    <r>
      <rPr>
        <rFont val="Arial"/>
        <color theme="1"/>
        <sz val="9.0"/>
      </rPr>
      <t>4.2 Protección de datos personales y privacidad – Básico</t>
    </r>
    <r>
      <rPr>
        <rFont val="Arial"/>
        <color rgb="FF7030A0"/>
        <sz val="9.0"/>
      </rPr>
      <t xml:space="preserve">
Con la IA (DigComp 3.0, nivel real): CS1.2.08 – Intermedio: reconoce que los datos con que se entrena una IA influyen en qué tan confiable es.</t>
    </r>
  </si>
  <si>
    <t>4.2. Reconoce las propiedades fisicoquímicas del material genético y la organización cromosómica del ADN.</t>
  </si>
  <si>
    <r>
      <rPr>
        <rFont val="Arial"/>
        <color theme="1"/>
        <sz val="9.0"/>
      </rPr>
      <t>2.4 Colaboración a través de tecnologías digitales – Básico</t>
    </r>
    <r>
      <rPr>
        <rFont val="Arial"/>
        <color rgb="FF7030A0"/>
        <sz val="9.0"/>
      </rPr>
      <t xml:space="preserve">
Con la IA (DigComp 3.0, nivel real): CS1.2.13 – Intermedio: valora qué tan confiable es una fuente, teniendo en cuenta el papel de la IA.</t>
    </r>
  </si>
  <si>
    <t>Microsoft Copilot</t>
  </si>
  <si>
    <r>
      <rPr>
        <rFont val="Arial"/>
        <color theme="1"/>
        <sz val="9.0"/>
      </rPr>
      <t>Revisar los permisos de ubicación y cámara de la aplicación usada para registrar temperaturas y desactivar los que no sean necesarios.</t>
    </r>
    <r>
      <rPr>
        <rFont val="Arial"/>
        <color rgb="FF7030A0"/>
        <sz val="9.0"/>
      </rPr>
      <t xml:space="preserve">
IA (Indagar · el estudiante, solo o en pareja).
Herramienta y medio: app Seek (gratis, sin crear cuenta) en el celular o la tableta.
Actividad: Predice tú cómo cambia la temperatura del cuerpo de un garrobo o una lagartija al pasar de la sombra al sol. Con Seek, identifica desde lejos un reptil y un ave del patio, sin tocarlos. Mide con termómetro la temperatura del aire al sol y a la sombra donde los viste y anota dónde estaba cada animal. Compara con datos publicados de endotermos y ectotermos y explica su comportamiento termorregulador.
Evidencia: Ficha «Yo pienso · La IA dice · Lo comprobé»: en «Yo pienso» tu predicción; en «La IA dice» la especie que dio Seek rotulada «Respuesta de IA»; en «Lo comprobé» tabla «Animal · Sol o sombra · Temperatura del aire» y tu explicación con la zona termoneutral. Marca ✔/✘ cada dato de la IA y anota una línea en tu registro de uso de IA.
Refuerza con: iNaturalist: observaciones de El Salvador (consulta sin cuenta) (https://www.inaturalist.org)
→ PISA D4 · TIMSS Razonar</t>
    </r>
  </si>
  <si>
    <t>Alternativa a Gemini</t>
  </si>
  <si>
    <t>Gratis con cuenta Microsoft</t>
  </si>
  <si>
    <t>13 años o más</t>
  </si>
  <si>
    <t>Respeto al medio ambiente, entorno y territorio
Observa a los garrobos e iguanas a distancia, sin capturarlos ni alterar sus sitios de asoleamiento.</t>
  </si>
  <si>
    <r>
      <rPr>
        <rFont val="Arial"/>
        <color theme="1"/>
        <sz val="9.0"/>
      </rPr>
      <t>Redactar el informe de la extracción en un documento colaborativo del aula virtual con control de cambios.</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Extrae ADN de banano o fresa con sal, detergente y alcohol frío, y anota qué hace cada paso. Escribe tu explicación de por qué el ADN precipita. Sube al cuaderno de NotebookLM un texto de bioquímica escolar y pregúntale: «¿Qué propiedades del ADN explican cada paso de la extracción y cómo se organiza en el núcleo? Cita la fuente». Compara con tu explicación.
Evidencia: Ficha «Yo pienso · La IA dice · Lo comprobé»: foto del ADN extraído, tabla «Paso · Mi explicación · Explicación citada por la IA · ¿Coincide?». Respuesta de IA rotulada. Línea en el registro de uso de IA.
→ PISA D3 · TIMSS Aplicar</t>
    </r>
  </si>
  <si>
    <t>Alternativa cuando no se pueda usar Gemini</t>
  </si>
  <si>
    <t>Convivir
Revisa y comenta con respeto los aportes de los compañeros en el documento compartido antes de aceptarlos.
↳ Se trabaja en la actividad digital (DigComp 2.4).</t>
  </si>
  <si>
    <t>Energía en los ecosistemas</t>
  </si>
  <si>
    <t>Oficial
Malla 11.° grado, U3 · 3.2</t>
  </si>
  <si>
    <t>Eficiencia ecológica
Pirámides de energía
Pérdidas por respiración y calor</t>
  </si>
  <si>
    <t>6.4. Cálculo de la eficiencia de transferencia de energía entre niveles tróficos con datos de un ecosistema de manglar.</t>
  </si>
  <si>
    <t>Bases de datos de información genética</t>
  </si>
  <si>
    <t>4.3. Búsqueda y tamizaje de información genética en bases de datos biológicas.</t>
  </si>
  <si>
    <t>E6 · Reconoce que la pesca artesanal de la bahía de Jiquilisco depende de la energía que fijan los manglares y el fitoplancton.</t>
  </si>
  <si>
    <t>E3 · Predice cuánta energía llegaría a un ave pescadora si cada nivel trófico transfiriera solo el 10 % y justifica su estimación.</t>
  </si>
  <si>
    <t>E2 · Construye una pirámide de energía a partir de datos de producción de cada nivel trófico en un manglar.</t>
  </si>
  <si>
    <t>E1 · Recuerda que un gen es un segmento de ADN y que su secuencia puede escribirse como una cadena de letras A, T, C y G.</t>
  </si>
  <si>
    <t>I3 · Argumenta con los datos calculados por qué un manglar sostiene mucha más biomasa de herbívoros que de carnívoros depredadores.</t>
  </si>
  <si>
    <t>D1 · Pregunta guía: «¿Dónde se guarda y cómo se consulta la secuencia de un gen de una especie salvadoreña?».</t>
  </si>
  <si>
    <t>I5 · Justifica qué nivel trófico convendría aprovechar en la pesca para no agotar el ecosistema, con base en la eficiencia calculada.</t>
  </si>
  <si>
    <t>E2 · Interpreta el formato FASTA y los campos de una ficha de GenBank: organismo, número de acceso, longitud y descripción.</t>
  </si>
  <si>
    <t>I1 · Busca y descarga la secuencia corta de un gen (por ejemplo, el citocromo b) de una especie nativa como el torogoz.</t>
  </si>
  <si>
    <t>Pensamiento crítico (Reforzar)
Evalúa la validez de la «regla del 10 %» comparando eficiencias reales publicadas que varían entre ecosistemas.</t>
  </si>
  <si>
    <t>I2 · Distingue entre registros revisados y registros sin verificar en la base de datos antes de usar una secuencia.</t>
  </si>
  <si>
    <t>Comunicación (Reforzar)
Explica al grupo, con capturas de pantalla anotadas, la ruta de búsqueda seguida para obtener la secuencia.</t>
  </si>
  <si>
    <t>Aplicar: calcular eficiencias de transferencia. Razonar: argumentar la longitud de las cadenas tróficas</t>
  </si>
  <si>
    <t>Aplicar: buscar y obtener secuencias en bases de datos biológicas</t>
  </si>
  <si>
    <t>Pirámide de energía del manglar con cálculo de eficiencias entre cuatro niveles tróficos y argumento escrito</t>
  </si>
  <si>
    <t>Archivo FASTA con dos secuencias descargadas y ficha que describe su origen y número de acceso</t>
  </si>
  <si>
    <t>4.3. Obtiene secuencias genéticas cortas empleando bases de datos biológicas.</t>
  </si>
  <si>
    <t>6.5. Calcula la eficiencia de transferencia de energía entre niveles tróficos y explica por qué las cadenas tróficas tienen pocos eslabones.</t>
  </si>
  <si>
    <r>
      <rPr>
        <rFont val="Arial"/>
        <color theme="1"/>
        <sz val="9.0"/>
      </rPr>
      <t>2.3 Participación ciudadana a través de tecnologías digitales – Básico</t>
    </r>
    <r>
      <rPr>
        <rFont val="Arial"/>
        <color rgb="FF7030A0"/>
        <sz val="9.0"/>
      </rPr>
      <t xml:space="preserve">
Con la IA (DigComp 3.0, nivel real): CS1.2.13 – Intermedio: valora qué tan confiable es una fuente, teniendo en cuenta el papel de la IA.</t>
    </r>
  </si>
  <si>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CS1.2.13 – Intermedio: valora qué tan confiable es una fuente, teniendo en cuenta el papel de la IA.</t>
    </r>
  </si>
  <si>
    <r>
      <rPr>
        <rFont val="Arial"/>
        <color theme="1"/>
        <sz val="9.0"/>
      </rPr>
      <t>Estimar el consumo energético de descargar genomas completos y justificar descargar solo las secuencias necesarias.</t>
    </r>
    <r>
      <rPr>
        <rFont val="Arial"/>
        <color rgb="FF7030A0"/>
        <sz val="9.0"/>
      </rPr>
      <t xml:space="preserve">
IA (Indagar · el estudiante, solo o en pareja).
Herramienta y medio: Gemini (gemini.google.com) con tu cuenta institucional, en el celular, la tableta o la computadora del CRA. Sin internet: usa la respuesta de IA impresa en tu ficha.
Actividad: Pídele a la IA: «Dame el número de acceso del NCBI del gen de la amilasa del maíz y su longitud». Antes, escribe cómo buscarías tú ese gen. Busca el número en GenBank. ¿Existe?, ¿corresponde a ese gen y especie? Luego busca tú el gen con palabras clave y filtros por organismo. Nunca uses ni subas datos genéticos tuyos ni de tu familia.
Evidencia: Ficha «Yo pienso · La IA dice · Lo comprobé»: tu estrategia de búsqueda, Respuesta de IA rotulada, captura de tu búsqueda en GenBank y conclusión «La IA acertó en… / inventó…». Línea en el registro de uso de IA.
→ PISA I1 · TIMSS Razonar</t>
    </r>
  </si>
  <si>
    <r>
      <rPr>
        <rFont val="Arial"/>
        <color theme="1"/>
        <sz val="9.0"/>
      </rPr>
      <t>Aportar observaciones fotográficas de organismos del manglar a una plataforma de ciencia ciudadana como iNaturalist.</t>
    </r>
    <r>
      <rPr>
        <rFont val="Arial"/>
        <color rgb="FF7030A0"/>
        <sz val="9.0"/>
      </rPr>
      <t xml:space="preserve">
IA (Indagar · el estudiante, solo o en pareja).
Herramienta y medio: Global Nature Watch (globalnaturewatch.org) en el navegador.
Actividad: Calcula tú la eficiencia de transferencia entre niveles tróficos con los datos de un manglar y dibuja la pirámide de energía. Luego abre Global Nature Watch y observa la cobertura de manglar en la bahía de Jiquilisco o el estero de Jaltepeque. Escribe qué pasaría con la energía disponible para la pesca si se pierde manglar y qué nivel trófico convendría aprovechar.
Evidencia: Ficha «Yo pienso · La IA dice · Lo comprobé»: en «Yo pienso» tus cálculos y tu pirámide; en «La IA dice» la captura del mapa rotulada «Respuesta de IA» con la fecha de los datos; en «Lo comprobé» tu argumento sobre la pesca con tu eficiencia calculada. Marca ✔/✘ cada dato de la IA y anota una línea en tu registro de uso de IA.
Refuerza con: MARN (https://www.marn.gob.sv)
→ PISA I3 · TIMSS Razonar</t>
    </r>
  </si>
  <si>
    <t>Respeto al medio ambiente, entorno y territorio
Valora los manglares de la bahía de Jiquilisco como base energética de la pesca y propone acciones para su conservación.</t>
  </si>
  <si>
    <t>Respeto al medio ambiente, entorno y territorio
Reduce descargas innecesarias y elimina archivos duplicados para disminuir el consumo energético de almacenamiento.
↳ Se trabaja en la actividad digital (DigComp 4.4).</t>
  </si>
  <si>
    <t>Oficial
Malla 11.° grado, U3 · 3.3</t>
  </si>
  <si>
    <t>4. ENLACES DE REFUERZO USADOS EN ESTA MALLA</t>
  </si>
  <si>
    <t>U8 - Eje integrador: sistemas</t>
  </si>
  <si>
    <t>Ciclo celular</t>
  </si>
  <si>
    <t>Concepto y regulación
Replicación del ADN</t>
  </si>
  <si>
    <t>4.4. Exploración del ciclo celular y su regulación.</t>
  </si>
  <si>
    <t>7. Ciclos biogeoquímicos en la Tierra</t>
  </si>
  <si>
    <t>E1 · Recuerda lo visto en grados anteriores sobre el crecimiento del cuerpo y la reparación de una herida en la piel.</t>
  </si>
  <si>
    <t>La Tierra como sistema</t>
  </si>
  <si>
    <t>E3 · Predice qué ocurriría con una célula que copia su ADN con errores si no existieran puntos de control del ciclo.</t>
  </si>
  <si>
    <t>Reservorios y flujos
Tiempo de residencia
Sistemas abiertos y cerrados</t>
  </si>
  <si>
    <t>E2 · Representa en un diagrama circular las fases G1, S, G2 y M con sus puntos de control y la duración relativa de cada una.</t>
  </si>
  <si>
    <t>8.1. Modelación de los ciclos biogeoquímicos como sistemas de reservorios y flujos con cálculo de tiempos de residencia.</t>
  </si>
  <si>
    <t>E4 · Aplica el modelo semiconservativo de la replicación para explicar cómo se obtienen dos moléculas de ADN idénticas en la fase S.</t>
  </si>
  <si>
    <t>E6 · Relaciona la pérdida de control del ciclo celular con el cáncer y con la importancia de la prevención en la salud pública.</t>
  </si>
  <si>
    <t>Cuantifica reservorios, flujos y tiempos de residencia de los ciclos del agua, el carbono, el nitrógeno, el fósforo y el azufre, e interpreta datos reales de su variación. Explica la eutrofización de los lagos salvadoreños como una alteración humana de los ciclos biogeoquímicos y propone medidas para reducirla.</t>
  </si>
  <si>
    <t>Creatividad (Explicar)
Diseña una analogía original del ciclo celular con puntos de control, por ejemplo una línea de producción con inspecciones.</t>
  </si>
  <si>
    <t>CENTA</t>
  </si>
  <si>
    <t>Conocer: identificar fases del ciclo. Aplicar: representar la replicación. Razonar: predecir efectos de fallas en los puntos de control</t>
  </si>
  <si>
    <t>Diagrama del ciclo celular con puntos de control y esquema de la replicación semiconservativa</t>
  </si>
  <si>
    <t>4.4. Explica las fases del ciclo celular y sus puntos de control.</t>
  </si>
  <si>
    <t>Responsabilidad con el cuidado de las cuencas, lagos y suelos de El Salvador. Valoración del monitoreo ambiental y de la participación ciudadana informada en la gestión del agua.</t>
  </si>
  <si>
    <r>
      <rPr>
        <rFont val="Arial"/>
        <color theme="1"/>
        <sz val="9.0"/>
      </rPr>
      <t>4.3 Cuidado del bienestar – Básico</t>
    </r>
    <r>
      <rPr>
        <rFont val="Arial"/>
        <color rgb="FF7030A0"/>
        <sz val="9.0"/>
      </rPr>
      <t xml:space="preserve">
Con la IA (DigComp 3.0, nivel real): CS1.2.13 – Intermedio: valora qué tan confiable es una fuente, teniendo en cuenta el papel de la IA.</t>
    </r>
  </si>
  <si>
    <t>E1 · Recuerda los procesos biológicos de los ciclos biogeoquímicos y reconoce la Tierra como un sistema cerrado para la materia y abierto para la energía.</t>
  </si>
  <si>
    <t>E3 · Predice si una molécula de agua permanece más tiempo en la atmósfera o en el océano y justifica su predicción con el tamaño de cada reservorio.</t>
  </si>
  <si>
    <r>
      <rPr>
        <rFont val="Arial"/>
        <color theme="1"/>
        <sz val="9.0"/>
      </rPr>
      <t>Planificar pausas activas y cuidar la postura durante la sesión prolongada de elaboración de diagramas en computadora.</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Dibuja el ciclo celular con sus fases (G1, S, G2, M) y marca dónde crees que actúan los puntos de control. Sube al cuaderno de NotebookLM tu libro de texto o un recurso universitario abierto y pregúntale: «¿Qué ocurre en cada punto de control del ciclo celular y cómo se replica el ADN en la fase S? Cita la fuente». Corrige tu dibujo con otro color.
Evidencia: Ficha «Yo pienso · La IA dice · Lo comprobé»: dibujo inicial y corregido, Respuesta de IA rotulada con citas. Línea en el registro de uso de IA.
→ PISA E2 · TIMSS Aplicar</t>
    </r>
  </si>
  <si>
    <t>E4 · Construye un modelo de cajas y flechas con los reservorios y flujos globales de agua y aplica τ = reservorio / flujo.</t>
  </si>
  <si>
    <t>D4 · Calcula con datos publicados que el agua atmosférica tiene un tiempo de residencia de unos nueve días y el oceánica de miles de años.</t>
  </si>
  <si>
    <t>Convivir
Acuerda con el grupo los tiempos de pausa y respeta el turno de uso de los equipos compartidos.
↳ Se trabaja en la actividad digital (DigComp 4.3).</t>
  </si>
  <si>
    <t>E3 · Predice cómo cambiaría un reservorio si su flujo de entrada aumentara sin cambiar el de salida y justifica su respuesta.</t>
  </si>
  <si>
    <t>Oficial
Malla 11.° grado, U3 · 3.4</t>
  </si>
  <si>
    <t>Pensamiento crítico (Explorar)
Cuestiona la idea de que los ciclos siempre están «en equilibrio» y analiza qué ocurre cuando los flujos de entrada y salida difieren.</t>
  </si>
  <si>
    <t>Aplicar: calcular tiempos de residencia. Razonar: predecir cambios en reservorios</t>
  </si>
  <si>
    <t>Modelo de cajas y flechas del ciclo del agua con cálculos de tiempos de residencia en tres reservorios</t>
  </si>
  <si>
    <t>Mitosis</t>
  </si>
  <si>
    <t>INDAGACIÓN: Analizar datos reales de reservorios y flujos de agua, carbono, nitrógeno, fósforo y azufre, procedentes de redes de monitoreo nacionales e internacionales, para modelar el funcionamiento de la Tierra como sistema y evaluar el efecto de las actividades humanas sobre los ciclos biogeoquímicos.</t>
  </si>
  <si>
    <t>4.5. Simulación de los principales procesos de la división mitótica.</t>
  </si>
  <si>
    <t>E1 · Recuerda que las células de la punta de la raíz de una cebolla se dividen activamente para que la raíz crezca.</t>
  </si>
  <si>
    <t>D1 · Pregunta guía: «¿En qué fase de la mitosis se encuentra la mayoría de las células de una raíz en crecimiento?».</t>
  </si>
  <si>
    <t>8.1. Calcula el tiempo de residencia de un elemento en un reservorio a partir de su tamaño y de los flujos de entrada o salida.</t>
  </si>
  <si>
    <t>E2 · Identifica en micrografías o preparaciones fijas las fases de profase, metafase, anafase y telofase por la forma de los cromosomas.</t>
  </si>
  <si>
    <t>Observatorio de Amenazas (MARN): pronóstico, calidad del aire, hidrología</t>
  </si>
  <si>
    <t>D4 · Cuenta las células en cada fase y calcula el índice mitótico y la duración relativa de cada fase a partir de los conteos.</t>
  </si>
  <si>
    <t>La materia de la Tierra circula entre la atmósfera, la hidrosfera, la litosfera y la biosfera mediante procesos físicos, químicos y biológicos que pueden cuantificarse como reservorios y flujos. Las actividades humanas han acelerado algunos de esos flujos, como la liberación de carbono o de nutrientes, con consecuencias visibles en el clima y en la calidad del agua de lagos como Ilopango y Coatepeque.</t>
  </si>
  <si>
    <t>E3 · Predice cómo cambiaría el índice mitótico en una raíz tratada a menor temperatura y justifica su predicción.</t>
  </si>
  <si>
    <t>Pensamiento crítico (Indagar)
Justifica con los conteos por qué la interfase ocupa la mayor parte del ciclo celular.</t>
  </si>
  <si>
    <t>Conocer: describir las fases de la mitosis. Aplicar: calcular el índice mitótico</t>
  </si>
  <si>
    <t>Tabla de conteo de células por fase con índice mitótico calculado y dibujos rotulados de cada fase</t>
  </si>
  <si>
    <t>4.5. Describe los principales procesos de la división mitótica.</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</si>
  <si>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</si>
  <si>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5.3 Identificación de soluciones creativas con tecnologías digitales – Básico</t>
    </r>
    <r>
      <rPr>
        <rFont val="Arial"/>
        <color rgb="FF7030A0"/>
        <sz val="9.0"/>
      </rPr>
      <t xml:space="preserve">
Con la IA (DigComp 3.0, nivel real): CS1.2.08 – Intermedio: reconoce que los datos con que se entrena una IA influyen en qué tan confiable es.</t>
    </r>
  </si>
  <si>
    <r>
      <rPr>
        <rFont val="Arial"/>
        <color theme="1"/>
        <sz val="9.0"/>
      </rPr>
      <t>Simular la mitosis en un laboratorio virtual y comparar la secuencia de eventos con las micrografías observadas.</t>
    </r>
    <r>
      <rPr>
        <rFont val="Arial"/>
        <color rgb="FF7030A0"/>
        <sz val="9.0"/>
      </rPr>
      <t xml:space="preserve">
IA (Indagar · el estudiante, solo o en pareja).
Herramienta y medio: Teachable Machine (teachablemachine.withgoogle.com) en la computadora del CRA con Chrome; entrenas un modelo con fotos o sonidos de objetos, nunca de personas ni voces de compañeros. Sin internet: usa los resultados de ejemplo de tu ficha.
Actividad: Observa la raíz de cebolla al microscopio (o imágenes de un atlas libre) y dibuja una célula en cada fase de la mitosis. Entrena Teachable Machine con imágenes de profase, metafase, anafase y telofase. Predice qué fases confundirá. Prueba con imágenes nuevas y cuenta cuántas células hay en cada fase según el modelo y según tú. Explica sus errores.
Evidencia: Ficha «Yo pienso · La IA dice · Lo comprobé»: dibujos, matriz «Fase real · Fase del modelo», porcentaje de aciertos rotulado «hecho con IA» y explicación de las confusiones. Línea en el registro de uso de IA.
Refuerza con: Teachable Machine (https://teachablemachine.withgoogle.com)
→ PISA D4 · TIMSS Razonar</t>
    </r>
  </si>
  <si>
    <t>Convivir
Comparte el microscopio y las preparaciones por turnos y deja limpio el puesto de trabajo.</t>
  </si>
  <si>
    <t>Oficial
Malla 11.° grado, U3 · 3.5</t>
  </si>
  <si>
    <r>
      <rPr>
        <rFont val="Arial"/>
        <color theme="1"/>
        <sz val="9.0"/>
      </rPr>
      <t>Elaborar en equipo un modelo de reservorios y flujos en una pizarra digital colaborativa, asignando a cada integrante un reservorio.</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Calcula tú el tiempo de residencia del agua en la atmósfera y en el océano con los reservorios y flujos de una tabla publicada (tiempo = reservorio ÷ flujo). Predice qué pasa con un reservorio si aumenta su entrada sin cambiar la salida. Sube la tabla al cuaderno NotebookLM y pídele el mismo cálculo. Compara resultados y revisa que las unidades se cancelen bien.
Evidencia: Ficha «Yo pienso · La IA dice · Lo comprobé»: en «Yo pienso» tus cálculos con unidades y tu predicción; en «La IA dice» su cálculo rotulado «Respuesta de IA»; en «Lo comprobé» tabla «Reservorio · Mi tiempo · Tiempo de la IA» con ✔/✘. Marca ✔/✘ cada dato de la IA y anota una línea en tu registro de uso de IA.
→ PISA D4 · TIMSS Razonar</t>
    </r>
  </si>
  <si>
    <t>Convivir
Acuerda con respeto las tareas en la pizarra colaborativa y valora el aporte de cada integrante al modelo común.
↳ Se trabaja en la actividad digital (DigComp 2.4).</t>
  </si>
  <si>
    <t>Meiosis</t>
  </si>
  <si>
    <t>4.6. Uso de herramientas virtuales para explorar la división meiótica.</t>
  </si>
  <si>
    <t>Global Nature Watch: bosques de El Salvador</t>
  </si>
  <si>
    <t>E1 · Recuerda las leyes de Mendel estudiadas en 7.° y la necesidad de que los gametos lleven un solo alelo de cada gen.</t>
  </si>
  <si>
    <t>E5 · Formula una hipótesis sobre por qué los hermanos con los mismos padres no son genéticamente idénticos.</t>
  </si>
  <si>
    <t>E4 · Usa un modelo con cromosomas de plastilina o cuentas para representar la meiosis I y II, incluido el entrecruzamiento.</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</si>
  <si>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Las especies químicas se escriben con la notación de la IUPAC, indicando la carga de los iones (NO3-, NH4+, PO4 3-, SO4 2-). Simbología utilizada para la representación de magnitudes de interés en la unidad: Pg: petagramo, 10^15 g, equivalente a una gigatonelada. Pg C/a: petagramos de carbono por año. ppm: partes por millón en volumen, para la concentración de CO2 atmosférico. τ: tiempo de residencia, en años, a, o en días, d. P: precipitación, en milímetros, mm. ET: evapotranspiración, en mm. Q: caudal, en metros cúbicos por segundo, m^3/s. mg/L: miligramos por litro, para la concentración de nutrientes y de oxígeno disuelto. km^2: kilómetros cuadrados, para el área de una cuenca.</t>
  </si>
  <si>
    <t>D4 · Compara en una tabla el número de cromosomas, las divisiones y las células resultantes de la mitosis y la meiosis.</t>
  </si>
  <si>
    <t>E3 · Calcula el número de combinaciones cromosómicas posibles (2ⁿ) en los gametos humanos y justifica su aporte a la variabilidad.</t>
  </si>
  <si>
    <t>Creatividad (Explicar)
Produce una animación cuadro a cuadro de la meiosis con sus modelos de plastilina.</t>
  </si>
  <si>
    <t>Conocer: describir las fases de la meiosis. Aplicar: calcular combinaciones</t>
  </si>
  <si>
    <t>Animación cuadro a cuadro de la meiosis y tabla comparativa entre mitosis y meiosis</t>
  </si>
  <si>
    <t>4.6. Describe los principales procesos de la división meiótica.</t>
  </si>
  <si>
    <t>Ciclo del agua</t>
  </si>
  <si>
    <t>Balance hídrico
Cuencas hidrográficas
Río Lempa</t>
  </si>
  <si>
    <r>
      <rPr>
        <rFont val="Arial"/>
        <color theme="1"/>
        <sz val="9.0"/>
      </rPr>
      <t>3.1 Desarrollo de contenidos digitales – Básico</t>
    </r>
    <r>
      <rPr>
        <rFont val="Arial"/>
        <color rgb="FF7030A0"/>
        <sz val="9.0"/>
      </rPr>
      <t xml:space="preserve">
Con la IA (DigComp 3.0, nivel real): CS1.2.10 – Intermedio: reconoce que la IA puede dar respuestas equivocadas que parecen ciertas y que quien la usa debe verificarlas.</t>
    </r>
  </si>
  <si>
    <t>8.2. Análisis del balance hídrico de la cuenca del río Lempa con datos de precipitación, evapotranspiración y caudal.</t>
  </si>
  <si>
    <t>E6 · Reconoce que la cuenca del río Lempa, compartida con Guatemala y Honduras, abastece de agua y energía hidroeléctrica a gran parte del país.</t>
  </si>
  <si>
    <t>D1 · Pregunta guía: «¿Por qué el caudal del Lempa cambia tanto entre la época seca y la lluviosa?».</t>
  </si>
  <si>
    <t>E2 · Interpreta un mapa de la cuenca del Lempa con sus afluentes y los embalses Cerrón Grande, 5 de Noviembre y 15 de Septiembre.</t>
  </si>
  <si>
    <r>
      <rPr>
        <rFont val="Arial"/>
        <color theme="1"/>
        <sz val="9.0"/>
      </rPr>
      <t>Crear una animación cuadro a cuadro con la cámara del teléfono y un editor gratuito para representar la meiosis.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plastilina, modela la meiosis de una célula con 2n = 4 y anota cuántos cromosomas y cromátidas hay en cada etapa. Pídele a la IA: «Describe la meiosis de una célula 2n = 4 indicando cromosomas y cromátidas en cada etapa». Compara número por número con tu modelo y con un simulador virtual de meiosis. Señala dónde la IA confunde cromosomas con cromátidas.
Evidencia: Ficha «Yo pienso · La IA dice · Lo comprobé»: fotos del modelo, tabla «Etapa · Cromosomas · Cromátidas · Dato de la IA · ¿Coincide?». Respuesta de IA rotulada. Línea en el registro de uso de IA.
→ PISA E3 · TIMSS Aplicar</t>
    </r>
  </si>
  <si>
    <t>D4 · Analiza datos hidrológicos mensuales publicados por el MARN y calcula el balance P = ET + Q + ΔS para un año.</t>
  </si>
  <si>
    <t>I5 · Justifica con los resultados del balance qué medidas de protección de la cuenca, como la reforestación de zonas de recarga, serían más eficaces.</t>
  </si>
  <si>
    <t>Uso ético de la información
Usa solo imágenes y música propias o con licencia libre y la indica en los créditos de la animación.
↳ Se trabaja en la actividad digital (DigComp 3.1).</t>
  </si>
  <si>
    <t>Colaboración (Indagar)
Divide con su equipo el análisis de los meses secos y lluviosos y construye en conjunto la gráfica anual del caudal.</t>
  </si>
  <si>
    <t>Aplicar: calcular un balance hídrico. Razonar: interpretar variaciones estacionales del caudal</t>
  </si>
  <si>
    <t>Oficial
Malla 11.° grado, U3 · 3.6</t>
  </si>
  <si>
    <t>Gráfica anual de precipitación y caudal del Lempa con balance hídrico calculado e interpretado</t>
  </si>
  <si>
    <t>8.2. Aplica la ecuación del balance hídrico a la cuenca del río Lempa e interpreta la variación estacional de su caudal.</t>
  </si>
  <si>
    <t>Expresión génica</t>
  </si>
  <si>
    <t>Concepto
Control de la expresión génica</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</si>
  <si>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CS1.2.13 – Intermedio: valora qué tan confiable es una fuente, teniendo en cuenta el papel de la IA.</t>
    </r>
  </si>
  <si>
    <t>4.7. Reconocimiento de procesos cotidianos que involucran el control de la expresión génica.</t>
  </si>
  <si>
    <t>E6 · Reflexiona sobre cómo la temperatura de la arena determina el sexo de las crías de tortuga en las playas salvadoreñas.</t>
  </si>
  <si>
    <t>D1 · Pregunta guía: «¿Por qué células con el mismo ADN, como una neurona y una célula de la piel, son tan distintas?».</t>
  </si>
  <si>
    <r>
      <rPr>
        <rFont val="Arial"/>
        <color theme="1"/>
        <sz val="9.0"/>
      </rPr>
      <t>Estimar el agua y la energía que consumen los servicios en la nube donde se almacenan archivos y proponer hábitos digitales que las reduzcan.</t>
    </r>
    <r>
      <rPr>
        <rFont val="Arial"/>
        <color rgb="FF7030A0"/>
        <sz val="9.0"/>
      </rPr>
      <t xml:space="preserve">
IA (Indagar · el estudiante, solo o en pareja).
Herramienta y medio: Google Flood Hub (sites.research.google/floods) en el navegador, sin cuenta.
Actividad: Con los datos hidrológicos mensuales del MARN, calcula tú el balance P = ET + Q + ΔS de la cuenca del Lempa para un año. Predice en qué meses aumenta el riesgo de crecidas. Luego abre Google Flood Hub y revisa el pronóstico para puntos del río Lempa. Compara su pronóstico con tu balance y con los meses de la época lluviosa, y escribe qué medida de protección de la cuenca propones.
Evidencia: Ficha «Yo pienso · La IA dice · Lo comprobé»: en «Yo pienso» tu balance y tu predicción; en «La IA dice» la captura de Flood Hub rotulada «Respuesta de IA» con fecha; en «Lo comprobé» tu gráfica mensual de P y Q y tu propuesta para la cuenca. Marca ✔/✘ cada dato de la IA y anota una línea en tu registro de uso de IA.
Refuerza con: Observatorio de Amenazas (MARN): pronóstico, calidad del aire, hidrología (https://www.snet.gob.sv)
→ PISA D4 · TIMSS Razonar</t>
    </r>
  </si>
  <si>
    <t>E1 · Aplica el concepto de expresión génica diferencial para explicar la especialización celular y la respuesta al ambiente.</t>
  </si>
  <si>
    <t>I1 · Busca ejemplos cotidianos de control de la expresión génica: bronceado, maduración de frutos o tolerancia a la lactosa.</t>
  </si>
  <si>
    <t>Respeto al medio ambiente, entorno y territorio
Relaciona el cuidado de la cuenca del Lempa con el ahorro de agua y energía en la escuela y en el uso de tecnologías digitales.
↳ Se trabaja en la actividad digital (DigComp 4.4).</t>
  </si>
  <si>
    <t>I4 · Critica afirmaciones publicitarias que prometen «activar genes» con productos, señalando la falta de evidencia científica.</t>
  </si>
  <si>
    <t>iNaturalist: observaciones de El Salvador (consulta sin cuenta)</t>
  </si>
  <si>
    <t>Pensamiento crítico (Reforzar)
Identifica las fallas de argumentación en dos mensajes publicitarios sobre «genes» y las expone con evidencia.</t>
  </si>
  <si>
    <t>Conocer: definir expresión génica. Aplicar: ejemplificar su control</t>
  </si>
  <si>
    <t>Ciclo del carbono</t>
  </si>
  <si>
    <t>Catálogo de cuatro ejemplos de control de la expresión génica con su explicación y análisis crítico de un mensaje publicitario</t>
  </si>
  <si>
    <t>Fotosíntesis y respiración a escala global
Intercambio océano-atmósfera
Curva de Keeling</t>
  </si>
  <si>
    <t>4.7. Ejemplifica procesos que involucran el control de la expresión génica.</t>
  </si>
  <si>
    <t>8.3. Interpretación de la serie de concentración de dióxido de carbono atmosférico de Mauna Loa y de los flujos globales del carbono.</t>
  </si>
  <si>
    <r>
      <rPr>
        <rFont val="Arial"/>
        <color theme="1"/>
        <sz val="9.0"/>
      </rPr>
      <t>1.2 Evaluación de la información – Básico</t>
    </r>
    <r>
      <rPr>
        <rFont val="Arial"/>
        <color rgb="FF7030A0"/>
        <sz val="9.0"/>
      </rPr>
      <t xml:space="preserve">
Con la IA (DigComp 3.0, nivel real): CS1.2.13 – Intermedio: valora qué tan confiable es una fuente, teniendo en cuenta el papel de la IA.</t>
    </r>
  </si>
  <si>
    <t>E1 · Recuerda que la fotosíntesis retira CO2 de la atmósfera y la respiración lo devuelve, tal como estudió en el ciclo de Calvin.</t>
  </si>
  <si>
    <t>D1 · Pregunta guía: «¿Por qué la concentración de CO2 en el aire sube y baja cada año como si la Tierra respirara?».</t>
  </si>
  <si>
    <t>E2 · Representa los reservorios y flujos globales del carbono en petagramos y compara los flujos naturales con las emisiones fósiles.</t>
  </si>
  <si>
    <t>D4 · Grafica los datos mensuales de CO2 de Mauna Loa y calcula la tasa media de aumento en ppm por año en la última década.</t>
  </si>
  <si>
    <t>E3 · Predice cómo sería la oscilación anual de CO2 en una estación del hemisferio sur y justifica su predicción con la distribución de los continentes.</t>
  </si>
  <si>
    <t>Comunicación (Reforzar)
Explica en un texto de divulgación breve y con una gráfica propia por qué la curva de Keeling es evidencia del cambio en el ciclo del carbono.</t>
  </si>
  <si>
    <r>
      <rPr>
        <rFont val="Arial"/>
        <color theme="1"/>
        <sz val="9.0"/>
      </rPr>
      <t>Evaluar la fiabilidad de dos fuentes digitales sobre expresión génica según autoría, fecha y respaldo científico.</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Haz una lista de procesos cotidianos donde se enciende o apaga un gen (bronceado de la piel, maduración del mango, cambio de color de hojas). Escribe qué crees que regula cada uno. Usa el simulador de expresión génica. Luego pregúntale al cuaderno de NotebookLM: «¿Cómo se controla la expresión génica en estos procesos? Cita la fuente». Marca lo que la fuente no respalda.
Evidencia: Ficha «Yo pienso · La IA dice · Lo comprobé»: tu lista, captura del simulador y Respuesta de IA rotulada con citas; tabla «Proceso · Señal · Gen o proteína · Fuente». Línea en el registro de uso de IA.
Refuerza con: PhET «Expresión génica: fundamentos» (https://phet.colorado.edu/sims/html/gene-expression-essentials/latest/gene-expression-essentials_es.html)
→ PISA E1 · TIMSS Aplicar</t>
    </r>
  </si>
  <si>
    <t>Aplicar: graficar series temporales y calcular tasas. Razonar: explicar oscilación y tendencia</t>
  </si>
  <si>
    <t>Gráfica de la curva de Keeling con cálculo de tasa de aumento y texto de divulgación</t>
  </si>
  <si>
    <t>MARN</t>
  </si>
  <si>
    <t>Uso ético de la información
Distingue fuentes científicas de mensajes comerciales y cita correctamente las fuentes fiables utilizadas.
↳ Se trabaja en la actividad digital (DigComp 1.2).</t>
  </si>
  <si>
    <t>8.3. Interpreta la curva de Keeling explicando su oscilación anual por la fotosíntesis y su tendencia creciente por las emisiones humanas.</t>
  </si>
  <si>
    <t>Oficial
Malla 11.° grado, U3 · 3.7</t>
  </si>
  <si>
    <r>
      <rPr>
        <rFont val="Arial"/>
        <color theme="1"/>
        <sz val="9.0"/>
      </rPr>
      <t>1.3 Gestión de la información – Básico</t>
    </r>
    <r>
      <rPr>
        <rFont val="Arial"/>
        <color rgb="FF7030A0"/>
        <sz val="9.0"/>
      </rPr>
      <t xml:space="preserve">
Con la IA (DigComp 3.0, nivel real): CS1.2.13 – Intermedio: valora qué tan confiable es una fuente, teniendo en cuenta el papel de la IA.</t>
    </r>
  </si>
  <si>
    <t>Transcripción y traducción de la información genética</t>
  </si>
  <si>
    <t>4.9. Explicación de los procesos de transcripción y traducción.</t>
  </si>
  <si>
    <t>E1 · Recuerda los términos promotor, codón, anticodón, ribosoma y ARN mensajero trabajados en la simulación anterior.</t>
  </si>
  <si>
    <t>E5 · Plantea una explicación de por qué el código genético es casi universal en todos los seres vivos.</t>
  </si>
  <si>
    <r>
      <rPr>
        <rFont val="Arial"/>
        <color theme="1"/>
        <sz val="9.0"/>
      </rPr>
      <t>Descargar la serie de CO2 de Mauna Loa, organizarla en una hoja de cálculo y obtener promedios anuales y tasas de aumento.</t>
    </r>
    <r>
      <rPr>
        <rFont val="Arial"/>
        <color rgb="FF7030A0"/>
        <sz val="9.0"/>
      </rPr>
      <t xml:space="preserve">
IA (Indagar · el estudiante, solo o en pareja).
Herramienta y medio: Climate TRACE (climatetrace.org) en el navegador, sin cuenta.
Actividad: Grafica tú los datos mensuales de CO₂ de Mauna Loa y calcula la tasa media de aumento por año en la última década. Explica la oscilación anual con la fotosíntesis y la respiración. Luego abre Climate TRACE y busca qué sectores emiten más en El Salvador. Escribe cómo se estiman esas emisiones con satélites e IA y qué incertidumbre tienen.
Evidencia: Ficha «Yo pienso · La IA dice · Lo comprobé»: en «Yo pienso» tu gráfica y tu tasa calculada; en «La IA dice» los sectores de Climate TRACE rotulados «Respuesta de IA»; en «Lo comprobé» tu explicación de la curva y la incertidumbre que declara la fuente. Marca ✔/✘ cada dato de la IA y anota una línea en tu registro de uso de IA.
Refuerza con: PhET «Efecto invernadero» (https://phet.colorado.edu/sims/html/greenhouse-effect/latest/greenhouse-effect_es.html)
→ PISA D4 · TIMSS Razonar</t>
    </r>
  </si>
  <si>
    <t>E4 · Explica con un modelo integrado el flujo de información del ADN al ARN y a la proteína (dogma central).</t>
  </si>
  <si>
    <t>Respeto al medio ambiente, entorno y territorio
Relaciona los datos de emisiones con la importancia de conservar los bosques y manglares salvadoreños como sumideros de carbono.</t>
  </si>
  <si>
    <t>I3 · Argumenta con evidencia por qué una bacteria puede producir insulina humana a partir del gen humano.</t>
  </si>
  <si>
    <t>E6 · Explica la importancia de la síntesis de proteínas en tratamientos médicos y en la producción de vacunas.</t>
  </si>
  <si>
    <t>Comunicación (Reforzar)
Graba un video explicativo breve sobre transcripción y traducción usando terminología científica precisa.</t>
  </si>
  <si>
    <t>Conocer: usar la terminología científica. Razonar: explicar el flujo de información genética</t>
  </si>
  <si>
    <t>Ciclo del nitrógeno</t>
  </si>
  <si>
    <t>MINSAL</t>
  </si>
  <si>
    <t>Video explicativo de tres minutos sobre transcripción y traducción con glosario de términos</t>
  </si>
  <si>
    <t>Fijación biológica e industrial
Nitrificación y desnitrificación
Rhizobium y leguminosas</t>
  </si>
  <si>
    <t>8.4. Observación de nódulos radicales en leguminosas y análisis de los procesos microbianos del ciclo del nitrógeno.</t>
  </si>
  <si>
    <t>4.9. Explica los procesos de transcripción y traducción utilizando la terminología científica.</t>
  </si>
  <si>
    <t>2.2 Compartir a través de tecnologías digitales – Básico</t>
  </si>
  <si>
    <t>E6 · Reconoce que muchos agricultores salvadoreños intercalan frijol con maíz y relaciona esta práctica con la fertilidad del suelo.</t>
  </si>
  <si>
    <t>Compartir el video explicativo en el aula virtual con una descripción y permisos de visualización adecuados.</t>
  </si>
  <si>
    <t>E5 · Formula una hipótesis sobre la función de los pequeños nódulos que aparecen en las raíces de las plantas de frijol.</t>
  </si>
  <si>
    <t>Uso ético de la información
Obtiene el consentimiento de los compañeros que aparecen en el video antes de compartirlo.
↳ Se trabaja en la actividad digital (DigComp 2.2).</t>
  </si>
  <si>
    <t>E1 · Explica la fijación, amonificación, nitrificación y desnitrificación, y el papel de bacterias como Rhizobium en cada etapa.</t>
  </si>
  <si>
    <t>D4 · Observa y cuantifica nódulos en raíces de frijol cultivadas en suelo con y sin fertilizante nitrogenado y concluye sobre la fijación.</t>
  </si>
  <si>
    <t>Oficial
Malla 11.° grado, U3 · 3.9</t>
  </si>
  <si>
    <t>E6 · Relaciona el proceso Haber-Bosch con el aumento de la producción de alimentos y con la contaminación por nitratos del agua.</t>
  </si>
  <si>
    <t>Creatividad (Explicar)
Crea un modelo tridimensional original del ciclo del nitrógeno con materiales reutilizados que muestre los microorganismos de cada etapa.</t>
  </si>
  <si>
    <t>Conocer: identificar procesos. Aplicar: comparar tratamientos. Razonar: relacionar la fijación con la productividad</t>
  </si>
  <si>
    <t>Modelo tridimensional del ciclo del nitrógeno y registro de conteo de nódulos con conclusión escrita</t>
  </si>
  <si>
    <t>Mecanismos evolutivos</t>
  </si>
  <si>
    <t>Mutaciones y sus tipos</t>
  </si>
  <si>
    <t>8.4. Explica las transformaciones del nitrógeno realizadas por microorganismos y compara la fijación biológica con la industrial.</t>
  </si>
  <si>
    <t>4.11. Reconocimiento del papel de las mutaciones en la adaptabilidad y en el incremento de la diversidad genética.</t>
  </si>
  <si>
    <r>
      <rPr>
        <rFont val="Arial"/>
        <color theme="1"/>
        <sz val="9.0"/>
      </rPr>
      <t>4.4 Protección del medio ambiente – Básico</t>
    </r>
    <r>
      <rPr>
        <rFont val="Arial"/>
        <color rgb="FF7030A0"/>
        <sz val="9.0"/>
      </rPr>
      <t xml:space="preserve">
DigComp 3.0 cambió el nombre de la 4.4: «Impacto ambiental de las tecnologías digitales» (Environmental impacts of digital technologies).
Con la IA (DigComp 3.0, nivel real): CS1.2.08 – Intermedio: reconoce que los datos con que se entrena una IA influyen en qué tan confiable es.</t>
    </r>
  </si>
  <si>
    <t>E6 · Reflexiona sobre la variedad de colores del maíz criollo salvadoreño y su posible origen en mutaciones.</t>
  </si>
  <si>
    <t>D1 · Pregunta guía: «¿Son todas las mutaciones perjudiciales para el organismo que las porta?».</t>
  </si>
  <si>
    <t>E1 · Clasifica mutaciones puntuales, cromosómicas y genómicas a partir de ejemplos de secuencias y cariotipos.</t>
  </si>
  <si>
    <t>PhET «Balanceo de ecuaciones químicas»</t>
  </si>
  <si>
    <r>
      <rPr>
        <rFont val="Arial"/>
        <color theme="1"/>
        <sz val="9.0"/>
      </rPr>
      <t>Planificar la disposición correcta de las baterías y del medidor digital de nitratos al final de su vida útil como residuo electrónico.</t>
    </r>
    <r>
      <rPr>
        <rFont val="Arial"/>
        <color rgb="FF7030A0"/>
        <sz val="9.0"/>
      </rPr>
      <t xml:space="preserve">
IA (Indagar · el estudiante, solo o en pareja).
Herramienta y medio: app Pl@ntNet (plantnet.org) en el celular o la tableta; muestra varias opciones con su porcentaje de confianza.
Actividad: Identifica con Pl@ntNet dos leguminosas (frijol, gandul, madrecacao) y una planta que no lo sea. Predice cuáles tendrán nódulos en la raíz. Arranca con cuidado una planta pequeña de cada una y cuenta los nódulos con lupa; lávate las manos al terminar. Compara con fuentes sobre Rhizobium y escribe cómo la fijación biológica se relaciona con el uso de fertilizantes nitrogenados.
Evidencia: Ficha «Yo pienso · La IA dice · Lo comprobé»: en «Yo pienso» tu predicción; en «La IA dice» la especie y la confianza de Pl@ntNet rotuladas «Respuesta de IA»; en «Lo comprobé» tabla «Planta · ¿Leguminosa? · Nódulos contados» y tu explicación. Marca ✔/✘ cada dato de la IA y anota una línea en tu registro de uso de IA.
Refuerza con: CENTA (https://www.centa.gob.sv)
→ PISA D4 · TIMSS Razonar</t>
    </r>
  </si>
  <si>
    <t>I3 · Argumenta con casos reales, como la anemia falciforme y el paludismo, cómo una mutación puede ser ventajosa en cierto ambiente.</t>
  </si>
  <si>
    <t>E3 · Justifica por qué las mutaciones son la fuente primaria de nueva variabilidad genética en las poblaciones.</t>
  </si>
  <si>
    <t>Respeto al medio ambiente, entorno y territorio
Usa guantes al manipular suelo con fertilizante y devuelve el suelo y las plantas al huerto escolar al finalizar.
↳ Se trabaja en la actividad digital (DigComp 4.4).</t>
  </si>
  <si>
    <t>Pensamiento crítico (Indagar)
Analiza críticamente el caso de la anemia falciforme distinguiendo ventajas y desventajas según el ambiente.</t>
  </si>
  <si>
    <t>Conocer: clasificar mutaciones. Razonar: argumentar su papel en la adaptabilidad</t>
  </si>
  <si>
    <t>Tabla de clasificación de mutaciones y ensayo breve argumentado sobre una mutación ventajosa</t>
  </si>
  <si>
    <t>Ciclos del fósforo y del azufre</t>
  </si>
  <si>
    <t>4.11. Explica el papel de las mutaciones en la adaptabilidad y el incremento de la diversidad genética.</t>
  </si>
  <si>
    <t>Ciclo sedimentario del fósforo
Azufre volcánico
Lluvia ácida</t>
  </si>
  <si>
    <t>8.5. Comparación de los ciclos del fósforo y del azufre con énfasis en el aporte del vulcanismo salvadoreño.</t>
  </si>
  <si>
    <r>
      <rPr>
        <rFont val="Arial"/>
        <color theme="1"/>
        <sz val="9.0"/>
      </rPr>
      <t>4.2 Protección de datos personales y privacidad – Básico</t>
    </r>
    <r>
      <rPr>
        <rFont val="Arial"/>
        <color rgb="FF7030A0"/>
        <sz val="9.0"/>
      </rPr>
      <t xml:space="preserve">
Con la IA (DigComp 3.0, nivel real): CS1.2.13 – Intermedio: valora qué tan confiable es una fuente, teniendo en cuenta el papel de la IA.</t>
    </r>
  </si>
  <si>
    <t>E6 · Reconoce que las emisiones de gases de volcanes como el Ilamatepec y el Chaparrastique son vigiladas por el MARN por su efecto en la población.</t>
  </si>
  <si>
    <t>E3 · Anticipa por qué el fósforo no tiene una fase gaseosa importante mientras que el azufre sí, y justifica su idea con las especies químicas.</t>
  </si>
  <si>
    <t>E2 · Representa en diagramas comparativos el ciclo del fósforo, desde la meteorización de rocas, y el del azufre, desde las emisiones de SO2.</t>
  </si>
  <si>
    <t>I1 · Busca y evalúa datos de emisión de SO2 de volcanes salvadoreños en informes oficiales y registros satelitales.</t>
  </si>
  <si>
    <t>I2 · Distingue la evidencia científica de la opinión en publicaciones de redes sociales sobre la lluvia ácida tras una erupción.</t>
  </si>
  <si>
    <t>Pensamiento crítico (Indagar)
Contrasta las cifras de emisión de SO2 de distintas fuentes y decide cuáles son confiables con criterios explícitos.</t>
  </si>
  <si>
    <t>Conocer: describir los ciclos del fósforo y del azufre. Aplicar: interpretar datos de emisiones volcánicas</t>
  </si>
  <si>
    <t>Diagramas comparativos del fósforo y el azufre con informe breve sobre emisiones de SO2 de un volcán salvadoreño</t>
  </si>
  <si>
    <r>
      <rPr>
        <rFont val="Arial"/>
        <color theme="1"/>
        <sz val="9.0"/>
      </rPr>
      <t>Analizar la política de privacidad de un servicio de pruebas genéticas en línea y los riesgos de compartir datos genéticos.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si crees que las mutaciones son siempre dañinas y da un ejemplo. Sube al cuaderno de NotebookLM fuentes sobre tipos de mutaciones y casos de adaptación (resistencia a insecticidas, color en mariposas) y pregúntale: «Da ejemplos de mutaciones beneficiosas, neutras y dañinas con su tipo. Cita la fuente». Clasifica los ejemplos y revisa tu idea inicial.
Evidencia: Ficha «Yo pienso · La IA dice · Lo comprobé»: idea inicial, Respuesta de IA rotulada con citas y tabla «Mutación · Tipo · Efecto · Fuente». Línea en el registro de uso de IA.
→ PISA I3 · TIMSS Razonar</t>
    </r>
  </si>
  <si>
    <t>8.5. Diferencia el ciclo sedimentario del fósforo del ciclo del azufre y explica el aporte de los volcanes salvadoreños a este último.</t>
  </si>
  <si>
    <t>Uso ético de la información
Reconoce que la información genética es un dato personal sensible y argumenta cómo debe protegerse.
↳ Se trabaja en la actividad digital (DigComp 4.2).</t>
  </si>
  <si>
    <t>Oficial
Malla 11.° grado, U3 · 3.11</t>
  </si>
  <si>
    <r>
      <rPr>
        <rFont val="Arial"/>
        <color theme="1"/>
        <sz val="9.0"/>
      </rPr>
      <t>1.2 Evaluación de la información – Básico</t>
    </r>
    <r>
      <rPr>
        <rFont val="Arial"/>
        <color rgb="FF7030A0"/>
        <sz val="9.0"/>
      </rPr>
      <t xml:space="preserve">
Con la IA (DigComp 3.0, nivel real): CS1.2.08 – Intermedio: reconoce que los datos con que se entrena una IA influyen en qué tan confiable es.</t>
    </r>
  </si>
  <si>
    <t>PhET «Visión del color»</t>
  </si>
  <si>
    <t>Selección natural, artificial y sexual</t>
  </si>
  <si>
    <r>
      <rPr>
        <rFont val="Arial"/>
        <color theme="1"/>
        <sz val="9.0"/>
      </rPr>
      <t>Evaluar la fiabilidad de informes del MARN, registros satelitales y publicaciones en redes sobre emisiones volcánicas de SO2.</t>
    </r>
    <r>
      <rPr>
        <rFont val="Arial"/>
        <color rgb="FF7030A0"/>
        <sz val="9.0"/>
      </rPr>
      <t xml:space="preserve">
IA (Indagar · el estudiante, solo o en pareja).
Herramienta y medio: Climate TRACE (climatetrace.org) en el navegador, sin cuenta.
Actividad: Busca tú en informes oficiales del MARN datos de emisión de SO₂ de volcanes salvadoreños. Predice si Climate TRACE incluye las emisiones volcánicas. Ábrelo y revisa qué fuentes de azufre registra para El Salvador. Escribe qué falta en la herramienta y por qué una IA entrenada con datos de actividades humanas no ve todo el ciclo del azufre. Compara después con el ciclo del fósforo.
Evidencia: Ficha «Yo pienso · La IA dice · Lo comprobé»: en «Yo pienso» tu predicción; en «La IA dice» lo que muestra Climate TRACE rotulado «Respuesta de IA»; en «Lo comprobé» los datos del MARN y tu tabla «Ciclo · Reservorio principal · Aporte volcánico». Marca ✔/✘ cada dato de la IA y anota una línea en tu registro de uso de IA.
Refuerza con: Observatorio de Amenazas (MARN): pronóstico, calidad del aire, hidrología (https://www.snet.gob.sv)
→ PISA I1 · TIMSS Razonar</t>
    </r>
  </si>
  <si>
    <t>4.12. Análisis de los mecanismos de selección natural, artificial y sexual a partir de casos.</t>
  </si>
  <si>
    <t>Uso ético de la información
Cita correctamente los informes del MARN y los registros satelitales usados, y no difunde datos sin verificar su procedencia.
↳ Se trabaja en la actividad digital (DigComp 1.2).</t>
  </si>
  <si>
    <t>E1 · Recuerda lo visto en 7.° sobre la selección natural y compárala con la selección de variedades de café resistentes a la roya.</t>
  </si>
  <si>
    <t>D1 · Pregunta guía: «¿Qué diferencia hay entre la selección que hace el ambiente y la que hacen los agricultores?».</t>
  </si>
  <si>
    <t>Alteraciones humanas de los ciclos</t>
  </si>
  <si>
    <t>E1 · Aplica los conceptos de selección natural, artificial y sexual a casos de pinzones, perros domésticos y aves del paraíso.</t>
  </si>
  <si>
    <t>Eutrofización
Floraciones de cianobacterias
Lagos de Ilopango y Coatepeque</t>
  </si>
  <si>
    <t>I1 · Busca información fiable sobre la pérdida de variedades de maíz criollo por la selección de pocas variedades comerciales.</t>
  </si>
  <si>
    <t>8.6. Análisis de datos de calidad del agua de lagos salvadoreños para explicar la eutrofización y las floraciones de cianobacterias.</t>
  </si>
  <si>
    <t>I5 · Justifica una postura sobre la conservación de semillas criollas considerando la variabilidad genética.</t>
  </si>
  <si>
    <t>Comunicación (Indagar)
Debate en mesa redonda los efectos de la selección artificial sobre la variabilidad genética de los cultivos.</t>
  </si>
  <si>
    <t>Aplicar: clasificar casos de selección. Razonar: justificar efectos sobre la variabilidad genética</t>
  </si>
  <si>
    <t>E6 · Recuerda los cambios de coloración del agua reportados en los lagos de Coatepeque e Ilopango y su efecto en la pesca y el turismo.</t>
  </si>
  <si>
    <t>Cuadro comparativo de tres tipos de selección con casos y conclusión del debate</t>
  </si>
  <si>
    <t>D1 · Pregunta guía: «¿Cómo pueden los fertilizantes y las aguas residuales volver verde el agua de un lago?».</t>
  </si>
  <si>
    <t>E4 · Construye un modelo causal que vincule el aporte de fósforo y nitrógeno, la floración de cianobacterias y la disminución del oxígeno disuelto.</t>
  </si>
  <si>
    <t>I3 · Argumenta con datos publicados de fósforo, nitrógeno y oxígeno disuelto qué factores explican mejor una floración en uno de los lagos.</t>
  </si>
  <si>
    <t>4.12. Ejemplifica cómo los mecanismos de selección natural, artificial y sexual actúan restringiendo la variabilidad genética.</t>
  </si>
  <si>
    <t>I5 · Justifica una propuesta de reducción de nutrientes para la cuenca del lago, como el tratamiento de aguas residuales o las franjas de vegetación.</t>
  </si>
  <si>
    <t>Colaboración (Reforzar)
Elabora con su equipo una propuesta conjunta para reducir la eutrofización integrando los argumentos de cada integrante.</t>
  </si>
  <si>
    <t>PhET «Difusión»</t>
  </si>
  <si>
    <t>Aplicar: interpretar datos de calidad del agua. Razonar: argumentar causas y proponer soluciones</t>
  </si>
  <si>
    <r>
      <rPr>
        <rFont val="Arial"/>
        <color theme="1"/>
        <sz val="9.0"/>
      </rPr>
      <t>2.5 Comportamiento digital – Básico</t>
    </r>
    <r>
      <rPr>
        <rFont val="Arial"/>
        <color rgb="FF7030A0"/>
        <sz val="9.0"/>
      </rPr>
      <t xml:space="preserve">
Con la IA (DigComp 3.0, nivel real): CS1.2.10 – Intermedio: reconoce que la IA puede dar respuestas equivocadas que parecen ciertas y que quien la usa debe verificarlas.</t>
    </r>
  </si>
  <si>
    <t>Modelo causal de la eutrofización y propuesta argumentada de reducción de nutrientes para un lago salvadoreño</t>
  </si>
  <si>
    <t>8.6. Explica la eutrofización como consecuencia del exceso de nitrógeno y fósforo, y la relaciona con las floraciones de cianobacterias en Ilopango y Coatepeque.</t>
  </si>
  <si>
    <r>
      <rPr>
        <rFont val="Arial"/>
        <color theme="1"/>
        <sz val="9.0"/>
      </rPr>
      <t>2.3 Participación ciudadana a través de tecnologías digitales – Básico</t>
    </r>
    <r>
      <rPr>
        <rFont val="Arial"/>
        <color rgb="FF7030A0"/>
        <sz val="9.0"/>
      </rPr>
      <t xml:space="preserve">
Con la IA (DigComp 3.0, nivel real): CS3.3.03 – Básico: reconoce que lo hecho con IA debe etiquetarse.</t>
    </r>
  </si>
  <si>
    <r>
      <rPr>
        <rFont val="Arial"/>
        <color theme="1"/>
        <sz val="9.0"/>
      </rPr>
      <t>Participar en un foro del aula virtual sobre semillas criollas respetando normas de comunicación y argumentando con fuentes.</t>
    </r>
    <r>
      <rPr>
        <rFont val="Arial"/>
        <color rgb="FF7030A0"/>
        <sz val="9.0"/>
      </rPr>
      <t xml:space="preserve">
IA (Indagar · el estudiante, solo o en pareja).
Herramienta y medio: app Seek (gratis, sin crear cuenta) en el celular o la tableta.
Actividad: Busca ejemplos de selección en tu entorno: gallinas de patio y su pariente silvestre, plantas cultivadas, aves con machos y hembras distintos (como el zanate). Identifícalos con Seek, sin fotografiar personas. Predice qué tipo de selección explica cada caso. Comprueba la especie en iNaturalist y explora el simulador de selección natural para justificar tu clasificación.
Evidencia: Ficha «Yo pienso · La IA dice · Lo comprobé»: tabla «Caso · Especie según la IA · ¿Confirmada? · Tipo de selección · Evidencia», rotula «hecho con IA». Línea en el registro de uso de IA.
Refuerza con: PhET «Selección natural» (https://phet.colorado.edu/sims/html/natural-selection/latest/natural-selection_es.html) · iNaturalist: observaciones de El Salvador (consulta sin cuenta) (https://www.inaturalist.org)
→ PISA I1 · TIMSS Razonar</t>
    </r>
  </si>
  <si>
    <t>Convivir
Escucha y responde con respeto las posturas distintas a la propia durante el debate.
↳ Se trabaja en la actividad digital (DigComp 2.5).</t>
  </si>
  <si>
    <r>
      <rPr>
        <rFont val="Arial"/>
        <color theme="1"/>
        <sz val="9.0"/>
      </rPr>
      <t>Presentar la propuesta de reducción de nutrientes en una consulta pública o iniciativa ciudadana en línea sobre la calidad de los lagos.</t>
    </r>
    <r>
      <rPr>
        <rFont val="Arial"/>
        <color rgb="FF7030A0"/>
        <sz val="9.0"/>
      </rPr>
      <t xml:space="preserve">
IA (Indagar · el estudiante, solo o en pareja).
Herramienta y medio: Global Nature Watch (globalnaturewatch.org) en el navegador.
Actividad: Con datos publicados de fósforo, nitrógeno y oxígeno disuelto de los lagos de Ilopango o Coatepeque, grafica tú y argumenta qué factor explica mejor una floración de cianobacterias. Luego abre Global Nature Watch y observa los cambios de cobertura forestal en la cuenca del lago. Relaciona la pérdida de bosque con el aporte de nutrientes y propone una medida para reducir la eutrofización.
Evidencia: Ficha «Yo pienso · La IA dice · Lo comprobé»: en «Yo pienso» tu gráfica y tu argumento; en «La IA dice» la captura del mapa rotulada «Respuesta de IA» con fecha; en «Lo comprobé» tu propuesta y la declaración «Así usé la IA: … · Lo que revisé yo: …». Marca ✔/✘ cada dato de la IA y anota una línea en tu registro de uso de IA.
Refuerza con: MARN (https://www.marn.gob.sv)
→ PISA I3 · TIMSS Razonar</t>
    </r>
  </si>
  <si>
    <t>Oficial
Malla 11.° grado, U3 · 3.12</t>
  </si>
  <si>
    <t>Respeto al medio ambiente, entorno y territorio
Promueve en su comunidad acciones para evitar el vertido de aguas residuales y fertilizantes a los lagos y ríos.</t>
  </si>
  <si>
    <t>Transferencia genética horizontal (TGH)</t>
  </si>
  <si>
    <t>Procesos de TGH</t>
  </si>
  <si>
    <t>4.14. Simulación de un proceso de transferencia genética horizontal (TGH).</t>
  </si>
  <si>
    <t>PhET «Flotabilidad: Intro»</t>
  </si>
  <si>
    <t>Leyenda:</t>
  </si>
  <si>
    <t>E6 · Reflexiona sobre cómo las bacterias pueden compartir genes entre sí sin reproducirse y lo que eso implica para la salud.</t>
  </si>
  <si>
    <t>D1 · Pregunta guía: «¿Cómo se propaga un gen entre bacterias de especies distintas en pocas generaciones?».</t>
  </si>
  <si>
    <t>E4 · Utiliza un modelo de la conjugación bacteriana con plásmidos para explicar la transferencia genética horizontal.</t>
  </si>
  <si>
    <t>D2 · Diseña una simulación con fichas de colores que representen bacterias y plásmidos a lo largo de varias rondas de contacto.</t>
  </si>
  <si>
    <t>D3 · Evalúa las limitaciones de la simulación con fichas frente al proceso real y propone mejoras al diseño.</t>
  </si>
  <si>
    <t>Creatividad (Indagar)
Crea las reglas originales de un juego de simulación de conjugación y las prueba con el grupo.</t>
  </si>
  <si>
    <t>Aplicar: modelar la transferencia horizontal. Razonar: evaluar las limitaciones de un modelo</t>
  </si>
  <si>
    <t>Protocolo de la simulación con fichas, gráfica de bacterias receptoras por ronda y evaluación del modelo</t>
  </si>
  <si>
    <t>Unidad de la malla oficial de El Salvador (textos oficiales sin cambios; solo se renumeran según la posición de la unidad en el año)</t>
  </si>
  <si>
    <t>4.14. Explica en qué consisten los procesos de transferencia genética horizontal (TGH).</t>
  </si>
  <si>
    <r>
      <rPr>
        <rFont val="Arial"/>
        <color theme="1"/>
        <sz val="9.0"/>
      </rPr>
      <t>5.2 Identificación de necesidades y respuestas tecnológicas – Básico</t>
    </r>
    <r>
      <rPr>
        <rFont val="Arial"/>
        <color rgb="FF7030A0"/>
        <sz val="9.0"/>
      </rPr>
      <t xml:space="preserve">
Con la IA (DigComp 3.0, nivel real): CS1.2.13 – Intermedio: valora qué tan confiable es una fuente, teniendo en cuenta el papel de la IA.</t>
    </r>
  </si>
  <si>
    <t>Unidad nueva de la base sugerida (desarrollada con los planeadores o propuesta)</t>
  </si>
  <si>
    <t>PhET «Efecto invernadero»</t>
  </si>
  <si>
    <r>
      <rPr>
        <rFont val="Arial"/>
        <color theme="1"/>
        <sz val="9.0"/>
      </rPr>
      <t>Seleccionar la herramienta digital más adecuada (hoja de cálculo o simulador) para repetir la simulación con más rondas.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Simula la conjugación bacteriana con tarjetas: 20 «bacterias», 2 con el gen de resistencia; en cada ronda, cada portadora lo pasa a una vecina al azar con un dado. Registra el número de portadoras en 8 rondas y predice antes la forma de la curva. Luego pregúntale al cuaderno de NotebookLM: «¿Qué tan rápido se difunden genes de resistencia por TGH? Cita la fuente». Escribe qué limita tu simulación.
Evidencia: Ficha «Yo pienso · La IA dice · Lo comprobé»: predicción, tabla y gráfica «Ronda · Portadoras», Respuesta de IA rotulada con cita y límites del modelo. Línea en el registro de uso de IA.
→ PISA D2 · TIMSS Razonar</t>
    </r>
  </si>
  <si>
    <t>Respeto al medio ambiente, entorno y territorio
Explica cómo los genes de resistencia llegan a ríos como el Acelhuate por desechos y propone medidas de manejo responsable.</t>
  </si>
  <si>
    <t>Oficial
Malla 11.° grado, U3 · 3.14</t>
  </si>
  <si>
    <t>Contenido nuevo: contenido, subcontenidos, procedimental e indicador redactados para esta malla</t>
  </si>
  <si>
    <t>Microhabilidades PISA 2025 por fase (E = explicar, D = diseñar e interpretar, I = usar información)</t>
  </si>
  <si>
    <t>Transgénesis y edición genética</t>
  </si>
  <si>
    <t>4.15. Explicación de mecanismos de transgénesis y edición genética.</t>
  </si>
  <si>
    <t>Habilidad del siglo XXI: una por tema, en una fase de la secuencia</t>
  </si>
  <si>
    <t>PhET «Propiedades de los gases»</t>
  </si>
  <si>
    <t>E6 · Reflexiona sobre los cultivos transgénicos y su debate público en Centroamérica.</t>
  </si>
  <si>
    <t>E3 · Predice qué ventajas y riesgos podría tener editar un gen de resistencia a sequía en el frijol.</t>
  </si>
  <si>
    <t>E4 · Explica con un modelo de tijeras y guía de ARN el funcionamiento de la edición genética con CRISPR-Cas9.</t>
  </si>
  <si>
    <t>I2 · Distingue en artículos de prensa las afirmaciones respaldadas por evidencia de las opiniones sobre transgénicos.</t>
  </si>
  <si>
    <t>I5 · Justifica una postura ética sobre la edición genética en cultivos y en seres humanos con criterios científicos.</t>
  </si>
  <si>
    <t>Comunicación (Reforzar)
Presenta una infografía que compare la transgénesis y la edición genética con sus usos y dilemas éticos.</t>
  </si>
  <si>
    <t>Habilidad transversal: una por tema, dentro de una actividad existente</t>
  </si>
  <si>
    <t>Aplicar: representar un mecanismo de edición genética. Razonar: evaluar implicaciones éticas</t>
  </si>
  <si>
    <t>Infografía comparativa de transgénesis y CRISPR-Cas9 con postura ética argumentada</t>
  </si>
  <si>
    <t>4.15. Representa un mecanismo de transgénesis o de edición genética.</t>
  </si>
  <si>
    <t>Texto en morado: intervención de IA (09/10/2026; reaplicada el 12/10/2026 sobre la versión editada). Cada subcontenido tiene una actividad con IA en «Actividad digital», pensada para que el estudiante la realice solo o en pareja, con herramienta, medio, evidencia y enlaces explícitos. En «Competencia digital» se indica el descriptor DigComp 3.0 que trabaja y su nivel real. Herramientas, enlaces y reglas: hoja «Herramientas IA».</t>
  </si>
  <si>
    <r>
      <rPr>
        <rFont val="Arial"/>
        <color theme="1"/>
        <sz val="9.0"/>
      </rPr>
      <t>3.3 Derechos de autor y licencias – Básico</t>
    </r>
    <r>
      <rPr>
        <rFont val="Arial"/>
        <color rgb="FF7030A0"/>
        <sz val="9.0"/>
      </rPr>
      <t xml:space="preserve">
Con la IA (DigComp 3.0, nivel real): CS1.2.14 – Avanzado: examina de forma continua cómo la IA, los sesgos y distintos intereses influyen en la información.</t>
    </r>
  </si>
  <si>
    <t>PhET «Expresión génica: fundamentos»</t>
  </si>
  <si>
    <r>
      <rPr>
        <rFont val="Arial"/>
        <color theme="1"/>
        <sz val="9.0"/>
      </rPr>
      <t>Seleccionar para la infografía imágenes con licencia Creative Commons y citar su autoría y licencia.</t>
    </r>
    <r>
      <rPr>
        <rFont val="Arial"/>
        <color rgb="FF7030A0"/>
        <sz val="9.0"/>
      </rPr>
      <t xml:space="preserve">
IA (Reforzar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Escribe con tus palabras la diferencia entre transgénesis y edición con CRISPR, con un ejemplo agrícola. Sube al cuaderno de NotebookLM dos fuentes científicas y una periodística y pregúntale: «¿Cómo funcionan la transgénesis y CRISPR y qué riesgos y beneficios señalan estas fuentes? Cita cada una». Compara lo que dice cada tipo de fuente y detecta intereses o sesgos.
Evidencia: Ficha «Yo pienso · La IA dice · Lo comprobé»: tu explicación, Respuesta de IA rotulada y tabla «Afirmación · Fuente · Tipo de fuente · ¿Posible sesgo?». Línea en el registro de uso de IA.
→ PISA I5 · TIMSS Aplicar</t>
    </r>
  </si>
  <si>
    <t>Uso ético de la información
Respeta los derechos de autor de las imágenes científicas y cita las fuentes de los datos.
↳ Se trabaja en la actividad digital (DigComp 3.3).</t>
  </si>
  <si>
    <t>Oficial
Malla 11.° grado, U3 · 3.15</t>
  </si>
  <si>
    <t>PhET «Isótopos y masa atómica»</t>
  </si>
  <si>
    <t>5. Análisis de biodiversidad</t>
  </si>
  <si>
    <t>Biodiversidad genética poblacional</t>
  </si>
  <si>
    <t>Frecuencias genotípicas y alélicas</t>
  </si>
  <si>
    <t>5.2. Cálculo de las frecuencias genotípicas y alélicas para una población.</t>
  </si>
  <si>
    <t>PhET «Escala de pH»</t>
  </si>
  <si>
    <t>E1 · Recuerda lo visto en 7.° sobre la heterogeneidad de una población reflejada en sus frecuencias genotípicas.</t>
  </si>
  <si>
    <t>D1 · Pregunta guía: «¿Cómo se calcula la frecuencia de un alelo en una población si solo vemos fenotipos?».</t>
  </si>
  <si>
    <t>E2 · Transforma conteos de genotipos en frecuencias genotípicas y alélicas usando las expresiones p = f(AA) + ½f(Aa) y q = 1 − p.</t>
  </si>
  <si>
    <t>D4 · Calcula las frecuencias alélicas de una población simulada con granos de maíz de colores y concluye cuál alelo predomina.</t>
  </si>
  <si>
    <t>D3 · Evalúa cómo influye el tamaño de la muestra en la precisión de las frecuencias calculadas al repetir el conteo.</t>
  </si>
  <si>
    <t>Colaboración (Indagar)
Combina en un solo conjunto de datos los conteos de todos los equipos y calcula frecuencias con la muestra total.</t>
  </si>
  <si>
    <t>Aplicar: calcular frecuencias genotípicas y alélicas. Razonar: evaluar el efecto del tamaño de muestra</t>
  </si>
  <si>
    <t>PhET «Bajo presión»</t>
  </si>
  <si>
    <t>Tabla de conteos con frecuencias genotípicas y alélicas de la población simulada y conclusión sobre el tamaño de muestra</t>
  </si>
  <si>
    <t>5.2. Calcula las frecuencias genotípicas y alélicas para una población.</t>
  </si>
  <si>
    <t>PhET «Selección natural»</t>
  </si>
  <si>
    <r>
      <rPr>
        <rFont val="Arial"/>
        <color theme="1"/>
        <sz val="9.0"/>
      </rPr>
      <t>2.4 Colaboración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</si>
  <si>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Reunir los conteos de todos los equipos en una hoja de cálculo compartida del aula virtual.</t>
    </r>
    <r>
      <rPr>
        <rFont val="Arial"/>
        <color rgb="FF7030A0"/>
        <sz val="9.0"/>
      </rPr>
      <t xml:space="preserve">
IA (Indagar · el estudiante, solo o en pareja).
Herramienta y medio: app Pl@ntNet (plantnet.org) en el celular o la tableta; muestra varias opciones con su porcentaje de confianza.
Actividad: Busca una población de maravilla (Mirabilis jalapa), cuyas flores son rojas, rosadas o blancas por dominancia incompleta. Confirma la especie con Pl@ntNet y revisa la certeza. Predice qué color será más frecuente. Cuenta las plantas de cada color y calcula frecuencias genotípicas y alélicas. Repite el conteo en otro sitio y compara.
Evidencia: Ficha «Yo pienso · La IA dice · Lo comprobé»: predicción, especie según la IA rotulada «hecho con IA», tabla de conteo y cálculos de p y q para cada sitio. Línea en el registro de uso de IA.
Refuerza con: iNaturalist: observaciones de El Salvador (consulta sin cuenta) (https://www.inaturalist.org)
→ PISA D4 · TIMSS Razonar</t>
    </r>
  </si>
  <si>
    <t>Convivir
Ingresa sus datos en la hoja compartida sin modificar los registros de otros equipos.
↳ Se trabaja en la actividad digital (DigComp 2.4).</t>
  </si>
  <si>
    <t>Oficial
Malla 11.° grado, U4 · 4.2</t>
  </si>
  <si>
    <t>Determinación de frecuencias</t>
  </si>
  <si>
    <t>5.3. Resolución de problemas que involucran la determinación de frecuencias genotípicas y alélicas.</t>
  </si>
  <si>
    <t>E6 · Reflexiona sobre por qué conocer las frecuencias alélicas ayuda a conservar especies amenazadas como el venado cola blanca.</t>
  </si>
  <si>
    <t>E3 · Predice qué frecuencia de heterocigotos tendrá una población si se conocen las frecuencias de sus alelos.</t>
  </si>
  <si>
    <t>E1 · Aplica el procedimiento de cálculo de frecuencias a problemas con alelos dominantes, codominantes y ligados al sexo.</t>
  </si>
  <si>
    <t>I3 · Argumenta con los resultados de un problema si una población de ganado criollo ha perdido diversidad alélica.</t>
  </si>
  <si>
    <t>E3 · Resuelve problemas nuevos de frecuencias y justifica cada paso del procedimiento empleado.</t>
  </si>
  <si>
    <t>Creatividad (Reforzar)
Redacta un problema original de frecuencias alélicas con un contexto salvadoreño y su solución.</t>
  </si>
  <si>
    <t>Aplicar: resolver problemas de frecuencias. Razonar: interpretar resultados en contextos de conservación</t>
  </si>
  <si>
    <t>Serie de cinco problemas resueltos y un problema original con contexto salvadoreño</t>
  </si>
  <si>
    <t>Teachable Machine</t>
  </si>
  <si>
    <t>5.3. Resuelve problemas que involucran la determinación de frecuencias genotípicas y alélicas.</t>
  </si>
  <si>
    <r>
      <rPr>
        <rFont val="Arial"/>
        <color theme="1"/>
        <sz val="9.0"/>
      </rPr>
      <t>3.4 Pensamiento computacional y programación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</si>
  <si>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Construir en la hoja de cálculo un algoritmo que calcule frecuencias alélicas a partir de cualquier conteo de genotipos.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Pídele a la IA: «Crea 4 problemas de frecuencias genotípicas y alélicas con poblaciones de animales de El Salvador, con sus soluciones aparte». Resuelve los problemas sin mirar las soluciones. Luego revisa las soluciones de la IA: ¿las frecuencias suman 1?, ¿usó bien p² + 2pq + q²? Corrige los errores que encuentres.
Evidencia: Problemas rotulados «Respuesta de IA», tus soluciones, tabla «Problema · Mi resultado · Resultado de la IA · ¿Quién acertó? · Error detectado». Línea en el registro de uso de IA.
→ PISA E3 · TIMSS Aplicar</t>
    </r>
  </si>
  <si>
    <t>Respeto al medio ambiente, entorno y territorio
Relaciona la pérdida de diversidad alélica con la vulnerabilidad de las especies nativas ante cambios del ambiente.</t>
  </si>
  <si>
    <t>Oficial
Malla 11.° grado, U4 · 4.3</t>
  </si>
  <si>
    <t>Origen común de la vida</t>
  </si>
  <si>
    <t>Especies, subespecies, variedades y cepas.</t>
  </si>
  <si>
    <t>5.5. Relación de las variantes genéticas con los conceptos de especie, subespecie, variedad y cepa.</t>
  </si>
  <si>
    <t>E6 · Reflexiona sobre la variedad de café Pacamara, obtenida en El Salvador, y su valor para la caficultura nacional.</t>
  </si>
  <si>
    <t>D1 · Pregunta guía: «¿Por qué el Pacamara es una variedad y no una especie distinta de café?».</t>
  </si>
  <si>
    <t>E1 · Define especie, subespecie, variedad y cepa con ejemplos de café, jaguar, maíz y bacterias.</t>
  </si>
  <si>
    <t>5. ASISTENTES LISTOS PARA USAR (se copia al inicio de la conversación)</t>
  </si>
  <si>
    <t>D4 · Interpreta datos de diferencias genéticas entre poblaciones para decidir si corresponden a subespecies, variedades o cepas.</t>
  </si>
  <si>
    <t>I4 · Critica el uso incorrecto de los términos «raza» y «especie» en noticias o anuncios y propone la corrección.</t>
  </si>
  <si>
    <t>Pensamiento crítico (Reforzar)
Analiza tres casos ambiguos y decide con criterios genéticos qué categoría les corresponde.</t>
  </si>
  <si>
    <t>Conocer: definir especie, subespecie, variedad y cepa. Aplicar: clasificar casos con criterios genéticos</t>
  </si>
  <si>
    <t>Cuadro de definiciones con ejemplos y análisis argumentado de tres casos ambiguos</t>
  </si>
  <si>
    <t>5.5. Define los conceptos de especie, subespecie, variedad y cepa.</t>
  </si>
  <si>
    <t>Asistente</t>
  </si>
  <si>
    <r>
      <rPr>
        <rFont val="Arial"/>
        <color theme="1"/>
        <sz val="9.0"/>
      </rPr>
      <t>3.2 Integración y reelaboración de contenidos digitales – Básico</t>
    </r>
    <r>
      <rPr>
        <rFont val="Arial"/>
        <color rgb="FF7030A0"/>
        <sz val="9.0"/>
      </rPr>
      <t xml:space="preserve">
Con la IA (DigComp 3.0, nivel real): CS1.2.08 – Intermedio: reconoce que los datos con que se entrena una IA influyen en qué tan confiable es.</t>
    </r>
  </si>
  <si>
    <t>Para qué</t>
  </si>
  <si>
    <t>Dónde</t>
  </si>
  <si>
    <t>Instrucciones para copiar</t>
  </si>
  <si>
    <r>
      <rPr>
        <rFont val="Arial"/>
        <color theme="1"/>
        <sz val="9.0"/>
      </rPr>
      <t>Reelaborar un esquema publicado sobre categorías infraespecíficas adaptándolo con ejemplos salvadoreños.</t>
    </r>
    <r>
      <rPr>
        <rFont val="Arial"/>
        <color rgb="FF7030A0"/>
        <sz val="9.0"/>
      </rPr>
      <t xml:space="preserve">
IA (Indagar · el estudiante, solo o en pareja).
Herramienta y medio: app Pl@ntNet (plantnet.org) en el celular o la tableta; muestra varias opciones con su porcentaje de confianza.
Actividad: Reúne fotos de hojas, flores o frutos de tres variedades de mango (de chupar, Tommy, panadero) o de frijol criollo. Antes, escribe qué crees que distingue una especie, una subespecie, una variedad y una cepa. Pasa las fotos por Pl@ntNet: ¿distingue variedades o solo la especie? Explica por qué la IA no puede ver variantes genéticas y qué datos harían falta.
Evidencia: Ficha «Yo pienso · La IA dice · Lo comprobé»: tus definiciones, tabla «Variedad · Especie según la IA · Certeza · ¿Distinguió la variedad?», rotula «hecho con IA», y tu explicación. Línea en el registro de uso de IA.
→ PISA D4 · TIMSS Razonar</t>
    </r>
  </si>
  <si>
    <t>Uso ético de la información
Indica la fuente original del esquema reelaborado y respeta las condiciones de su licencia.
↳ Se trabaja en la actividad digital (DigComp 3.2).</t>
  </si>
  <si>
    <t>Oficial
Malla 11.° grado, U4 · 4.5</t>
  </si>
  <si>
    <t>Tutor que pregunta</t>
  </si>
  <si>
    <t>Guiarme sin darme la respuesta</t>
  </si>
  <si>
    <t>Gemini con la cuenta institucional</t>
  </si>
  <si>
    <t>Especiación</t>
  </si>
  <si>
    <t>5.6. Exploración de las formas naturales de especiación a partir de casos.</t>
  </si>
  <si>
    <t>Actúa como tutor de Ciencias para un estudiante de 15–17 años (Bachillerato) de El Salvador. Nunca des la respuesta directa. Haz una pregunta a la vez, parte de lo que observé o medí y espera mi respuesta. Si hay un error, pregúntame algo que me ayude a verlo. No pidas datos personales. Si pregunto qué comer, mezclar o tocar, o qué hacer en una emergencia, dime que siga mi guía y las fuentes oficiales.</t>
  </si>
  <si>
    <t>E1 · Recuerda el concepto de especie biológica y la importancia del aislamiento reproductivo visto en 7.°.</t>
  </si>
  <si>
    <t>E5 · Plantea una hipótesis sobre qué ocurrió con los camarones marinos cuando se cerró el istmo de Panamá.</t>
  </si>
  <si>
    <t>E4 · Explica con modelos la especiación alopátrica, simpátrica y parapátrica y los mecanismos de aislamiento reproductivo.</t>
  </si>
  <si>
    <t>I1 · Busca casos documentados de especiación, como los cíclidos de los lagos africanos o los pinzones de Galápagos.</t>
  </si>
  <si>
    <t>Cuaderno de la unidad</t>
  </si>
  <si>
    <t>E3 · Predice qué podría ocurrir a largo plazo con poblaciones separadas por la fragmentación de bosques salvadoreños.</t>
  </si>
  <si>
    <t>Responder dudas solo con las fuentes de la unidad</t>
  </si>
  <si>
    <t>NotebookLM: se abre desde el enlace de la ficha</t>
  </si>
  <si>
    <t>Creatividad (Explorar)
Imagina y representa un escenario hipotético de especiación en un lago volcánico como el de Coatepeque.</t>
  </si>
  <si>
    <t>Conocer: identificar formas de especiación. Razonar: aplicar modelos a casos reales e hipotéticos</t>
  </si>
  <si>
    <t>Eres el asistente de Ciencias de Biología de Bachillerato (10.° y 11.°) de una escuela pública de El Salvador. Responde solo con la información de las fuentes cargadas y cita la fuente. Si algo no está en las fuentes, dilo. Usa español claro y ejemplos de El Salvador. No des diagnósticos médicos ni indicaciones para manipular o mezclar sustancias.</t>
  </si>
  <si>
    <t>Mapa de casos de especiación clasificados por tipo con esquema del escenario hipotético</t>
  </si>
  <si>
    <t>5.6. Identifica las formas naturales de especiación a partir de casos.</t>
  </si>
  <si>
    <r>
      <rPr>
        <rFont val="Arial"/>
        <color theme="1"/>
        <sz val="9.0"/>
      </rPr>
      <t>3.1 Desarrollo de contenidos digitales – Básico</t>
    </r>
    <r>
      <rPr>
        <rFont val="Arial"/>
        <color rgb="FF7030A0"/>
        <sz val="9.0"/>
      </rPr>
      <t xml:space="preserve">
Con la IA (DigComp 3.0, nivel real): CS1.2.13 – Intermedio: valora qué tan confiable es una fuente, teniendo en cuenta el papel de la IA.</t>
    </r>
  </si>
  <si>
    <t>Compañero que se equivoca</t>
  </si>
  <si>
    <t>Defender una idea equivocada para que yo la corrija con evidencia</t>
  </si>
  <si>
    <t>Responde como un estudiante que cree esta idea equivocada: [escribir la idea]. Defiéndela con argumentos de la vida diaria. Solo cambia de opinión si te muestro evidencia de un experimento, un simulador o una fuente oficial; entonces explica qué aprendiste.</t>
  </si>
  <si>
    <r>
      <rPr>
        <rFont val="Arial"/>
        <color theme="1"/>
        <sz val="9.0"/>
      </rPr>
      <t>Crear un mapa narrativo digital que ubique cinco casos de especiación con imágenes y descripciones propias.</t>
    </r>
    <r>
      <rPr>
        <rFont val="Arial"/>
        <color rgb="FF7030A0"/>
        <sz val="9.0"/>
      </rPr>
      <t xml:space="preserve">
IA (Indagar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Elige dos casos de especiación (peces de lagos de cráteres de Centroamérica y aves de islas). Escribe qué barrera crees que separó a las poblaciones. Sube al cuaderno de NotebookLM artículos de divulgación de cada caso y pregúntale: «¿Fue especiación alopátrica o simpátrica y qué evidencia lo indica? Cita la fuente». Compara con tu hipótesis.
Evidencia: Ficha «Yo pienso · La IA dice · Lo comprobé»: tu hipótesis por caso, Respuesta de IA rotulada con citas y cuadro «Caso · Tipo de especiación · Barrera · Evidencia». Línea en el registro de uso de IA.
→ PISA I1 · TIMSS Razonar</t>
    </r>
  </si>
  <si>
    <t>Respeto al medio ambiente, entorno y territorio
Valora los lagos y bosques salvadoreños como territorios donde ocurren procesos evolutivos que merecen protección.</t>
  </si>
  <si>
    <t>Oficial
Malla 11.° grado, U4 · 4.6</t>
  </si>
  <si>
    <t>Estimación de la biodiversidad</t>
  </si>
  <si>
    <t>Riqueza y abundancia de especies</t>
  </si>
  <si>
    <t>5.7. Indagación de los conceptos de riqueza y abundancia de especies a partir de la observación.</t>
  </si>
  <si>
    <t>E1 · Recuerda la diferencia entre especie y población y observa la variedad de plantas del jardín o predio escolar.</t>
  </si>
  <si>
    <t>D1 · Pregunta guía: «¿Qué zona del predio escolar tiene más biodiversidad y cómo podemos medirlo?».</t>
  </si>
  <si>
    <t>E1 · Define riqueza como número de especies y abundancia como número de individuos por especie en un área.</t>
  </si>
  <si>
    <t>6. FUENTES</t>
  </si>
  <si>
    <t>D4 · Registra plantas e invertebrados en cuadrantes de 1 m², sin capturarlos ni dañarlos, y construye curvas de rango-abundancia para concluir qué zona es más rica y equitativa.</t>
  </si>
  <si>
    <t>D3 · Evalúa si el número y el tamaño de los cuadrantes fueron suficientes y propone mejoras al diseño del muestreo.</t>
  </si>
  <si>
    <t>Colaboración (Explorar)
Planifica con el equipo la ubicación de los cuadrantes y el reparto de las tareas de observación y registro.</t>
  </si>
  <si>
    <t>Conocer: definir riqueza y abundancia. Aplicar: registrar y graficar riqueza y abundancia</t>
  </si>
  <si>
    <t>Hoja de campo de cuadrantes con curva de rango-abundancia y conclusión comparativa</t>
  </si>
  <si>
    <t>5.7. Define los conceptos de riqueza y abundancia de especies.</t>
  </si>
  <si>
    <t>Cachia, R. y Cosgrove, J. (2025). DigComp 3.0: European Digital Competence Framework, 5.ª ed. Comisión Europea, JRC144121. https://publications.jrc.ec.europa.eu/repository/handle/JRC144121</t>
  </si>
  <si>
    <r>
      <rPr>
        <rFont val="Arial"/>
        <color theme="1"/>
        <sz val="9.0"/>
      </rPr>
      <t>2.2 Compartir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</si>
  <si>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Compartir las observaciones con fotografías en la plataforma de ciencia ciudadana iNaturalist con su ubicación aproximada.</t>
    </r>
    <r>
      <rPr>
        <rFont val="Arial"/>
        <color rgb="FF7030A0"/>
        <sz val="9.0"/>
      </rPr>
      <t xml:space="preserve">
IA (Indagar · el estudiante, solo o en pareja).
Herramienta y medio: app Seek (gratis, sin crear cuenta) en el celular o la tableta.
Actividad: Marca dos cuadrantes de 1 m × 1 m (uno en césped y otro en un área con más plantas). Predice en cuál habrá más especies. Registra con Seek cada planta e insecto e indica cuántos individuos hay de cada uno. Cuando la IA no esté segura, anótalo como «morfoespecie». Calcula riqueza y abundancia relativa de cada cuadrante.
Evidencia: Ficha «Yo pienso · La IA dice · Lo comprobé»: predicción, tabla «Especie (según la IA o morfoespecie) · Individuos C1 · Individuos C2», rotula «hecho con IA», y cálculos de riqueza y abundancia. Línea en el registro de uso de IA.
Refuerza con: iNaturalist: observaciones de El Salvador (consulta sin cuenta) (https://www.inaturalist.org)
→ PISA D4 · TIMSS Razonar</t>
    </r>
  </si>
  <si>
    <t>Respeto al medio ambiente, entorno y territorio
Observa sin arrancar plantas ni capturar animales y deja el sitio de muestreo como lo encontró.</t>
  </si>
  <si>
    <t>MINEDUCYT. Matriz curricular de Inteligencia Artificial 7.° a 11.° (basada en UNESCO, 2024). Competencias trabajadas en esta malla: AGN-03, AGN-04, URE-03, URE-04, URE-05.</t>
  </si>
  <si>
    <t>Oficial
Malla 11.° grado, U4 · 4.7</t>
  </si>
  <si>
    <t>Similitud y distancia entre comunidades biológicas</t>
  </si>
  <si>
    <t>5.8. Estimación de similitud y distancia entre comunidades biológicas.</t>
  </si>
  <si>
    <t>OCDE. Marco de Ciencias PISA 2025. https://pisa-framework.oecd.org/science-2025/</t>
  </si>
  <si>
    <t>E6 · Reflexiona sobre si un cafetal con sombra y un bosque nativo albergan las mismas especies de aves.</t>
  </si>
  <si>
    <t>D1 · Pregunta guía: «¿Qué tan parecidas son dos comunidades biológicas según las especies que comparten?».</t>
  </si>
  <si>
    <t>E2 · Calcula los índices de similitud de Jaccard y de Sørensen a partir de listas de especies de dos sitios.</t>
  </si>
  <si>
    <t>D4 · Interpreta datos publicados de aves del Parque Nacional El Imposible y de cafetales de sombra para estimar su similitud.</t>
  </si>
  <si>
    <t>D3 · Evalúa si el esfuerzo de muestreo de ambos sitios fue comparable y cómo afecta la validez del índice.</t>
  </si>
  <si>
    <t>Pensamiento crítico (Indagar)
Cuestiona si un índice de similitud alto implica que dos hábitats tienen igual valor de conservación.</t>
  </si>
  <si>
    <t>Aplicar: calcular índices de similitud y distancia. Razonar: evaluar la validez de la comparación</t>
  </si>
  <si>
    <t>Matriz de similitud entre tres sitios con cálculos de Jaccard y Sørensen e interpretación escrita</t>
  </si>
  <si>
    <t>5.8. Estima la similitud y distancia entre comunidades biológicas.</t>
  </si>
  <si>
    <t>IEA. Marcos de evaluación TIMSS 2027, cap. 2 Ciencias. https://timss2027.org/frameworks/downloads/T27_FW_Chap_2_Science.pdf</t>
  </si>
  <si>
    <r>
      <rPr>
        <rFont val="Arial"/>
        <color theme="1"/>
        <sz val="9.0"/>
      </rPr>
      <t>5.1 Identificación y resolución de problemas técnicos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</si>
  <si>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Identificar y corregir errores de referencia y de formato en las fórmulas de la hoja de cálculo de similitud.</t>
    </r>
    <r>
      <rPr>
        <rFont val="Arial"/>
        <color rgb="FF7030A0"/>
        <sz val="9.0"/>
      </rPr>
      <t xml:space="preserve">
IA (Indagar · el estudiante, solo o en pareja).
Herramienta y medio: app Pl@ntNet (plantnet.org) en el celular o la tableta; muestra varias opciones con su porcentaje de confianza.
Actividad: Registra las plantas de dos sitios (orilla de quebrada y terreno cultivado) identificándolas con Pl@ntNet y anotando la certeza. Predice qué tan parecidos serán. Calcula el índice de similitud de Jaccard con tus listas. Luego recalcula quitando las especies con certeza baja y compara: ¿cambia la conclusión por los errores de la IA?
Evidencia: Ficha «Yo pienso · La IA dice · Lo comprobé»: predicción, listas de especies rotuladas «hecho con IA», cálculo de Jaccard con y sin especies dudosas y conclusión. Línea en el registro de uso de IA.
Refuerza con: iNaturalist: observaciones de El Salvador (consulta sin cuenta) (https://www.inaturalist.org)
→ PISA D4 · TIMSS Razonar</t>
    </r>
  </si>
  <si>
    <t>Respeto al medio ambiente, entorno y territorio
Reconoce el valor de los cafetales de sombra como refugio de aves y argumenta por qué deben conservarse.</t>
  </si>
  <si>
    <t>Oficial
Malla 11.° grado, U4 · 4.8</t>
  </si>
  <si>
    <t>Biodiversidad funcional: nicho ecológico</t>
  </si>
  <si>
    <t>5.9. Exploración de la biodiversidad funcional a partir de los nichos ecológicos.</t>
  </si>
  <si>
    <t>E6 · Reflexiona sobre qué pasaría con los cultivos y los bosques si desaparecieran los murciélagos y las abejas nativas.</t>
  </si>
  <si>
    <t>E5 · Formula una hipótesis sobre por qué un ecosistema con más funciones ecológicas se recupera mejor de una perturbación.</t>
  </si>
  <si>
    <t>E1 · Define nicho ecológico y biodiversidad funcional con ejemplos de polinizadores, dispersores y descomponedores.</t>
  </si>
  <si>
    <t>I1 · Busca información sobre las funciones ecológicas de especies del manglar de la bahía de Jiquilisco.</t>
  </si>
  <si>
    <t>E6 · Explica la importancia de la biodiversidad funcional para servicios ecosistémicos como la polinización del café.</t>
  </si>
  <si>
    <t>Comunicación (Reforzar)
Elabora un cartel que comunique a la comunidad escolar las funciones ecológicas de cinco especies nativas.</t>
  </si>
  <si>
    <t>Conocer: definir nicho ecológico. Razonar: explicar la importancia de la biodiversidad funcional</t>
  </si>
  <si>
    <t>Cartel de grupos funcionales del manglar con la función ecológica y el servicio ecosistémico de cada especie</t>
  </si>
  <si>
    <t>5.9. Explica la importancia de la biodiversidad funcional.</t>
  </si>
  <si>
    <r>
      <rPr>
        <rFont val="Arial"/>
        <color theme="1"/>
        <sz val="9.0"/>
      </rPr>
      <t>1.2 Evaluación de la información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</si>
  <si>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Evaluar la fiabilidad de dos fuentes digitales sobre las especies del manglar comparando autoría, fecha y respaldo.</t>
    </r>
    <r>
      <rPr>
        <rFont val="Arial"/>
        <color rgb="FF7030A0"/>
        <sz val="9.0"/>
      </rPr>
      <t xml:space="preserve">
IA (Indagar · el estudiante, solo o en pareja).
Herramienta y medio: app BirdNET (birdnet.cornell.edu) en el celular; funciona sin internet.
Actividad: Predice qué aves cantan al amanecer, al mediodía y al atardecer en tu zona. Graba 10 minutos en cada horario con BirdNET. Revisa la confianza de cada detección y descarta las dudosas. Busca en iNaturalist qué come y dónde vive cada especie. Explica si se reparten el tiempo, el alimento o el espacio (nicho ecológico).
Evidencia: Ficha «Yo pienso · La IA dice · Lo comprobé»: predicción, tabla «Especie · Horario · Confianza · Alimento · Hábitat» y conclusión sobre los nichos. Rotula «hecho con IA». Línea en el registro de uso de IA.
Refuerza con: iNaturalist: observaciones de El Salvador (consulta sin cuenta) (https://www.inaturalist.org)
→ PISA I1 · TIMSS Razonar</t>
    </r>
  </si>
  <si>
    <t>Respeto al medio ambiente, entorno y territorio
Propone acciones escolares concretas para proteger a los polinizadores nativos del entorno.</t>
  </si>
  <si>
    <t>Oficial
Malla 11.° grado, U4 · 4.9</t>
  </si>
  <si>
    <t>Agrupamiento de organismos</t>
  </si>
  <si>
    <t>Uso de índices de biodiversidad</t>
  </si>
  <si>
    <t>5.10. Exploración de aplicaciones de los índices de biodiversidad.</t>
  </si>
  <si>
    <t>E6 · Reflexiona sobre cómo decide el Ministerio de Medio Ambiente y Recursos Naturales (MARN) si un proyecto afecta la biodiversidad.</t>
  </si>
  <si>
    <t>E3 · Predice qué valor del índice de Shannon tendrá una comunidad dominada por una sola especie y justifica su predicción.</t>
  </si>
  <si>
    <t>E2 · Calcula los índices de Shannon y de Simpson para dos comunidades con datos de abundancia proporcionados.</t>
  </si>
  <si>
    <t>I3 · Argumenta con los índices calculados cuál de dos sitios propuestos para un proyecto debería protegerse.</t>
  </si>
  <si>
    <t>I5 · Justifica los usos y límites de los índices de biodiversidad en estudios de impacto ambiental.</t>
  </si>
  <si>
    <t>Comunicación (Indagar)
Presenta un informe técnico breve que recomiende un sitio de conservación a partir de los índices calculados.</t>
  </si>
  <si>
    <t>Aplicar: calcular índices de diversidad. Razonar: tomar decisiones de conservación con datos</t>
  </si>
  <si>
    <t>Informe técnico con índices de Shannon y Simpson de dos sitios y recomendación argumentada</t>
  </si>
  <si>
    <t>5.10. Ejemplifica los usos o aplicaciones de los índices de biodiversidad.</t>
  </si>
  <si>
    <r>
      <rPr>
        <rFont val="Arial"/>
        <color theme="1"/>
        <sz val="9.0"/>
      </rPr>
      <t>2.3 Participación ciudadana a través de tecnologías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</si>
  <si>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Revisar un estudio de impacto ambiental en consulta pública del MARN y redactar un comentario ciudadano argumentado.</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los conteos de tus cuadrantes, calcula a mano o en hoja de cálculo los índices de Shannon y de Simpson. Luego dale los mismos datos a la IA: «Calcula Shannon y Simpson con estos conteos, mostrando cada paso». Compara: ¿usó logaritmo natural?, ¿calculó bien las proporciones? Explica para qué sirve cada índice en un plan de conservación.
Evidencia: Ficha «Yo pienso · La IA dice · Lo comprobé»: tus cálculos, Respuesta de IA rotulada y tabla «Índice · Mi valor · Valor de la IA · Error detectado». Línea en el registro de uso de IA.
→ PISA I5 · TIMSS Aplicar</t>
    </r>
  </si>
  <si>
    <t>Convivir
Participa en la consulta ciudadana con un lenguaje respetuoso y argumentos basados en datos.
↳ Se trabaja en la actividad digital (DigComp 2.3).</t>
  </si>
  <si>
    <t>Oficial
Malla 11.° grado, U4 · 4.10</t>
  </si>
  <si>
    <t>Dendrogramas guiados por algoritmos</t>
  </si>
  <si>
    <t>5.11. Construcción de dendrogramas a partir de algoritmos.</t>
  </si>
  <si>
    <t>E1 · Recuerda cómo se obtuvieron secuencias cortas de bases de datos biológicas en la unidad anterior.</t>
  </si>
  <si>
    <t>D1 · Pregunta guía: «¿Cómo se decide cuáles especies están más emparentadas a partir de sus secuencias de ADN?».</t>
  </si>
  <si>
    <t>E2 · Construye una matriz de distancias a partir de secuencias alineadas contando las diferencias entre pares.</t>
  </si>
  <si>
    <t>D4 · Aplica el algoritmo UPGMA paso a paso para agrupar cinco especies y dibuja el dendrograma resultante.</t>
  </si>
  <si>
    <t>D3 · Evalúa si el dendrograma cambia al usar otra región del genoma o un algoritmo distinto.</t>
  </si>
  <si>
    <t>Colaboración (Indagar)
Reparte en el equipo los pasos del algoritmo UPGMA y verifica en conjunto cada fusión de grupos.</t>
  </si>
  <si>
    <t>Aplicar: construir matrices de distancia y dendrogramas. Razonar: evaluar la robustez de un agrupamiento</t>
  </si>
  <si>
    <t>Matriz de distancias y dendrograma UPGMA de cinco especies con evaluación escrita del resultado</t>
  </si>
  <si>
    <t>5.11. Construye un dendrograma a partir un algoritmo específico.</t>
  </si>
  <si>
    <r>
      <rPr>
        <rFont val="Arial"/>
        <color theme="1"/>
        <sz val="9.0"/>
      </rPr>
      <t>5.2 Identificación de necesidades y respuestas tecnológicas – Básico</t>
    </r>
    <r>
      <rPr>
        <rFont val="Arial"/>
        <color rgb="FF7030A0"/>
        <sz val="9.0"/>
      </rPr>
      <t xml:space="preserve">
Con la IA (DigComp 3.0, nivel real): CS1.2.09 – Intermedio: reconoce que la IA a veces no puede explicar cómo llegó a su respuesta.</t>
    </r>
  </si>
  <si>
    <r>
      <rPr>
        <rFont val="Arial"/>
        <color theme="1"/>
        <sz val="9.0"/>
      </rPr>
      <t>Seleccionar una herramienta en línea de alineamiento múltiple, como Clustal Omega, para contrastar el dendrograma hecho a mano.</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Haz una matriz de presencia y ausencia de 6 rasgos en 5 organismos (torogoz, zanate, iguana, garrobo, sapo) y construye a mano un dendrograma por similitud (UPGMA). Pídele a la IA: «Construye un dendrograma UPGMA con esta matriz y explica cada paso de agrupamiento». Compara los pasos. ¿Su árbol coincide con la clasificación aceptada? Explica por qué el algoritmo depende de los rasgos elegidos.
Evidencia: Ficha «Yo pienso · La IA dice · Lo comprobé»: matriz, tu dendrograma, Respuesta de IA rotulada y comparación paso a paso. Línea en el registro de uso de IA.
→ PISA D3 · TIMSS Aplicar</t>
    </r>
  </si>
  <si>
    <t>Uso ético de la información
Cita la herramienta de alineamiento y los números de acceso de las secuencias en el informe.</t>
  </si>
  <si>
    <t>Oficial
Malla 11.° grado, U4 · 4.11</t>
  </si>
  <si>
    <t>Grupo monofilético, polifilético y parafilético</t>
  </si>
  <si>
    <t>5.12. Interpretación de agrupamientos de organismos a partir de diagramas.</t>
  </si>
  <si>
    <t>E1 · Recuerda la estructura de un dendrograma: raíz, nodos, ramas y terminales.</t>
  </si>
  <si>
    <t>E3 · Predice si el grupo de los «reptiles» incluye a todos los descendientes de su ancestro común y justifica su respuesta.</t>
  </si>
  <si>
    <t>E2 · Interpreta cladogramas para distinguir grupos monofiléticos, parafiléticos y polifiléticos.</t>
  </si>
  <si>
    <t>E4 · Usa el modelo de cladograma de vertebrados para mostrar por qué las aves pertenecen al grupo de los reptiles.</t>
  </si>
  <si>
    <t>E3 · Clasifica grupos de organismos en diagramas nuevos y justifica cada clasificación según sus ancestros comunes.</t>
  </si>
  <si>
    <t>Creatividad (Explicar)
Inventa un conjunto de organismos imaginarios con rasgos heredados y construye su cladograma.</t>
  </si>
  <si>
    <t>Conocer: definir tipos de agrupamiento. Aplicar: interpretar cladogramas. Razonar: justificar clasificaciones</t>
  </si>
  <si>
    <t>Cladograma de organismos imaginarios con grupos monofiléticos, parafiléticos y polifiléticos señalados</t>
  </si>
  <si>
    <t>5.12. Reconoce grupos de organismos a partir de dendrogramas.</t>
  </si>
  <si>
    <r>
      <rPr>
        <rFont val="Arial"/>
        <color theme="1"/>
        <sz val="9.0"/>
      </rPr>
      <t>2.6 Gestión de la identidad digital – Básico</t>
    </r>
    <r>
      <rPr>
        <rFont val="Arial"/>
        <color rgb="FF7030A0"/>
        <sz val="9.0"/>
      </rPr>
      <t xml:space="preserve">
Con la IA (DigComp 3.0, nivel real): CS1.2.13 – Intermedio: valora qué tan confiable es una fuente, teniendo en cuenta el papel de la IA.</t>
    </r>
  </si>
  <si>
    <r>
      <rPr>
        <rFont val="Arial"/>
        <color theme="1"/>
        <sz val="9.0"/>
      </rPr>
      <t>Publicar el cladograma en el portafolio del aula virtual con un perfil académico apropiado y datos personales mínimos.</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un árbol filogenético de vertebrados, colorea un grupo que creas monofilético, uno parafilético (como «reptiles» sin aves) y uno polifilético. Sube al cuaderno de NotebookLM textos de sistemática y pregúntale: «¿Por qué los reptiles tradicionales son un grupo parafilético? Cita la fuente». Corrige tus colores si hace falta.
Evidencia: Ficha «Yo pienso · La IA dice · Lo comprobé»: árbol coloreado inicial y corregido, Respuesta de IA rotulada con cita y definición propia de cada tipo de grupo. Línea en el registro de uso de IA.
→ PISA E2 · TIMSS Aplicar</t>
    </r>
  </si>
  <si>
    <t>Uso ético de la información
Reconoce la autoría de los compañeros que aportaron ideas al cladograma publicado.</t>
  </si>
  <si>
    <t>Oficial
Malla 11.° grado, U4 · 4.12</t>
  </si>
  <si>
    <t>U6 - Eje integrador: sistemas</t>
  </si>
  <si>
    <t>6. Mecánica de fluidos en los seres vivos</t>
  </si>
  <si>
    <t>Circulación sanguínea</t>
  </si>
  <si>
    <t>Presión arterial sistólica y diastólica
Esfigmomanómetro
Presión hidrostática en el cuerpo</t>
  </si>
  <si>
    <t>6.1. Interpretación de la presión arterial como presión manométrica y de los principios físicos de su medición.</t>
  </si>
  <si>
    <t>Aplica los principios de presión, continuidad, viscosidad y flotación para explicar cuantitativamente la circulación sanguínea, la respiración, el transporte de agua en las plantas y la flotación de organismos acuáticos. Relaciona las variaciones del radio de los vasos sanguíneos con el caudal según la ley de Poiseuille para argumentar sobre la salud cardiovascular.</t>
  </si>
  <si>
    <t>Interés por comprender el funcionamiento del propio cuerpo y de otros seres vivos desde la física. Respeto por la privacidad de los datos de salud y responsabilidad en el cuidado de la salud cardiovascular y de la cobertura vegetal.</t>
  </si>
  <si>
    <t>E1 · Recuerda lo visto en 9.° y 10.° sobre presión hidrostática y la expresión P = ρgh aplicada a columnas de líquido.</t>
  </si>
  <si>
    <t>D1 · Pregunta guía: «¿Por qué la presión arterial se mide a la altura del corazón y no en el tobillo?».</t>
  </si>
  <si>
    <t>E2 · Convierte valores de presión arterial de mmHg a pascals y calcula la diferencia de presión hidrostática entre la cabeza y los pies.</t>
  </si>
  <si>
    <t>D4 · Analiza datos publicados o simulados de presión arterial y concluye cómo cambia con la postura, la edad y la actividad física.</t>
  </si>
  <si>
    <t>E6 · Explica por qué la medición periódica de la presión arterial es importante para prevenir enfermedades cardiovasculares.</t>
  </si>
  <si>
    <t>Comunicación (Aproximar)
Describe con vocabulario físico preciso qué significan los dos números de una lectura de presión arterial.</t>
  </si>
  <si>
    <t>Aplicar: convertir unidades y calcular presiones hidrostáticas. Razonar: interpretar datos fisiológicos</t>
  </si>
  <si>
    <t>Hoja de cálculos de presión hidrostática en distintas posturas e interpretación de una tabla de datos de presión arterial</t>
  </si>
  <si>
    <t>INDAGACIÓN: Modelar con los principios de la mecánica de fluidos el transporte de sangre, aire y agua en los seres vivos, contrastando las predicciones de las ecuaciones con datos fisiológicos publicados o simulados para explicar sus adaptaciones estructurales.</t>
  </si>
  <si>
    <t>6.1. Explica la medición de la presión arterial aplicando la presión manométrica y la variación de la presión hidrostática con la altura del cuerpo.</t>
  </si>
  <si>
    <t>Los seres vivos obedecen las mismas leyes físicas que rigen los fluidos en las máquinas: la presión, la continuidad del caudal, la viscosidad y el empuje explican cómo circula la sangre, cómo respiramos, cómo asciende el agua en un árbol y cómo flota un pez. Comprender estas relaciones permite interpretar mediciones clínicas, valorar la prevención de enfermedades cardiovasculares y apreciar las soluciones estructurales que la evolución ha producido.</t>
  </si>
  <si>
    <r>
      <rPr>
        <rFont val="Arial"/>
        <color theme="1"/>
        <sz val="9.0"/>
      </rPr>
      <t>4.2 Protección de datos personales y privacidad – Básico</t>
    </r>
    <r>
      <rPr>
        <rFont val="Arial"/>
        <color rgb="FF7030A0"/>
        <sz val="9.0"/>
      </rPr>
      <t xml:space="preserve">
Con la IA (DigComp 3.0, nivel real): CS4.3.04 – Básico: reconoce los límites de la IA para cuidar la salud y el bienestar.</t>
    </r>
  </si>
  <si>
    <r>
      <rPr>
        <rFont val="Arial"/>
        <color theme="1"/>
        <sz val="9.0"/>
      </rPr>
      <t>Analizar qué datos personales solicitan las aplicaciones de salud y por qué los datos de presión no deben registrarse con nombre.</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 una manguera transparente con agua, mide la diferencia de altura entre dos puntos y calcula la presión hidrostática (ρgh). Escribe por qué la presión arterial en los pies es mayor que en la cabeza estando de pie. Pregúntale al cuaderno de NotebookLM: «¿Por qué la presión arterial se mide como presión manométrica y cómo funciona el esfigmomanómetro? Cita la fuente». No midas ni escribas presiones tuyas o de tu familia; la IA no diagnostica.
Evidencia: Ficha «Yo pienso · La IA dice · Lo comprobé»: tus mediciones y cálculo de ρgh, Respuesta de IA rotulada con cita y tu explicación final. Línea en el registro de uso de IA.
Refuerza con: PhET «Bajo presión» (https://phet.colorado.edu/sims/html/under-pressure/latest/under-pressure_es.html)
→ PISA E2 · TIMSS Aplicar</t>
    </r>
  </si>
  <si>
    <t>Uso ético de la información
Trabaja con datos publicados o anónimos y respeta la decisión voluntaria de cada compañero de participar en mediciones.
↳ Se trabaja en la actividad digital (DigComp 4.2).</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</si>
  <si>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Rhizophora mangle). Simbología utilizada para la representación de magnitudes de interés en la unidad: P: presión, en pascals, Pa; en contextos clínicos se usa el milímetro de mercurio, mmHg (1 mmHg ≈ 133.3 Pa). ρ: densidad, en kilogramos por metro cúbico, kg/m³. g: aceleración de la gravedad, 9.8 m/s². h: altura, en metros, m. A: área de sección transversal, en metros cuadrados, m². v: rapidez del fluido, en metros por segundo, m/s. Q: caudal, en metros cúbicos por segundo, m³/s. η: viscosidad dinámica, en pascal segundo, Pa·s. r: radio del conducto, en metros, m. L: longitud del conducto, en metros, m. V: volumen, en metros cúbicos, m³, o en litros, L. E: empuje, en newtons, N. γ: tensión superficial, en newtons por metro, N/m.</t>
  </si>
  <si>
    <t>Caudal sanguíneo
Ecuación de continuidad
Área total de sección transversal</t>
  </si>
  <si>
    <t>6.2. Aplicación de la ecuación de continuidad al flujo sanguíneo desde la aorta hasta los capilares.</t>
  </si>
  <si>
    <t>E1 · Recuerda la ecuación de continuidad A₁v₁ = A₂v₂ estudiada en Física de 10.° con mangueras y tuberías.</t>
  </si>
  <si>
    <t>E3 · Predice si la sangre circula más rápido en la aorta o en los capilares, que son mucho más estrechos, y justifica su predicción.</t>
  </si>
  <si>
    <t>E4 · Usa el modelo de conductos en paralelo para explicar que el área total de los capilares supera ampliamente a la de la aorta.</t>
  </si>
  <si>
    <t>D4 · Calcula la rapidez de la sangre en los capilares a partir de un caudal de 5 L/min y áreas publicadas de aorta y lecho capilar.</t>
  </si>
  <si>
    <t>E3 · Justifica por qué la baja rapidez en los capilares favorece el intercambio de gases y nutrientes con los tejidos.</t>
  </si>
  <si>
    <t>Pensamiento crítico (Indagar)
Confronta su predicción inicial con los cálculos y explica el error de razonamiento que la originó.</t>
  </si>
  <si>
    <t>Aplicar: calcular rapidez con la ecuación de continuidad. Razonar: relacionar estructura y función</t>
  </si>
  <si>
    <t>Tabla de caudal, área total y rapidez en aorta, arterias, capilares y venas con gráfica y conclusión</t>
  </si>
  <si>
    <t>6.2. Calcula la rapidez de la sangre en la aorta y en los capilares con la ecuación de continuidad y justifica la ventaja de un flujo lento en el intercambio capilar.</t>
  </si>
  <si>
    <r>
      <rPr>
        <rFont val="Arial"/>
        <color theme="1"/>
        <sz val="9.0"/>
      </rPr>
      <t>1.3 Gestión de la información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</si>
  <si>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Organizar en una hoja de cálculo los datos de área y caudal por tipo de vaso y graficar la rapidez calculada.</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 datos de área de sección transversal de la aorta y de los capilares de tu libro, calcula la velocidad de la sangre en cada uno con la ecuación de continuidad. Pídele a la IA el mismo cálculo paso a paso. Revisa las unidades (cm², cm/s) y si confundió el área de un capilar con el área total. Explica por qué la sangre va más lenta en los capilares.
Evidencia: Ficha «Yo pienso · La IA dice · Lo comprobé»: tu cálculo, Respuesta de IA rotulada y tabla «Vaso · Área total · Velocidad mía · Velocidad de la IA · Error». Línea en el registro de uso de IA.
→ PISA E3 · TIMSS Aplicar</t>
    </r>
  </si>
  <si>
    <t>Convivir
Distribuye con el equipo el cálculo de cada tipo de vaso y revisa los resultados de todos antes de graficar.</t>
  </si>
  <si>
    <t>Transporte de agua en las plantas</t>
  </si>
  <si>
    <t>Transpiración
Teoría de cohesión-tensión
Capilaridad en el xilema</t>
  </si>
  <si>
    <t>6.4. Medición de la transpiración de una rama y explicación del ascenso del agua por cohesión-tensión y capilaridad.</t>
  </si>
  <si>
    <t>E6 · Observa árboles altos del entorno, como la ceiba, y reflexiona sobre cómo llega el agua hasta sus hojas más altas.</t>
  </si>
  <si>
    <t>D1 · Pregunta guía: «¿Puede la capilaridad por sí sola explicar que el agua suba decenas de metros en un árbol?».</t>
  </si>
  <si>
    <t>E1 · Calcula con h = 2γcosθ/(ρgr) la altura capilar en un vaso de xilema y la compara con la altura de una ceiba.</t>
  </si>
  <si>
    <t>D2 · Diseña un experimento con ramas en probetas o bolsas transparentes para medir la transpiración en sol y sombra.</t>
  </si>
  <si>
    <t>D3 · Evalúa las fuentes de error del experimento de transpiración y propone cómo controlarlas.</t>
  </si>
  <si>
    <t>Colaboración (Indagar)
Coordina con el equipo la medición diaria del agua perdida por las ramas y el registro compartido de datos.</t>
  </si>
  <si>
    <t>Aplicar: calcular alturas capilares y tasas de transpiración. Razonar: evaluar modelos explicativos</t>
  </si>
  <si>
    <t>Informe del experimento de transpiración con tabla de volúmenes, cálculo de altura capilar y conclusión sobre cohesión-tensión</t>
  </si>
  <si>
    <t>6.4. Explica el ascenso del agua en árboles altos con la teoría de cohesión-tensión, calculando la altura que alcanzaría solo por capilaridad.</t>
  </si>
  <si>
    <r>
      <rPr>
        <rFont val="Arial"/>
        <color theme="1"/>
        <sz val="9.0"/>
      </rPr>
      <t>3.1 Desarrollo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</si>
  <si>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Producir un video en cámara rápida del experimento de transpiración con fotografías tomadas a intervalos regulares.</t>
    </r>
    <r>
      <rPr>
        <rFont val="Arial"/>
        <color rgb="FF7030A0"/>
        <sz val="9.0"/>
      </rPr>
      <t xml:space="preserve">
IA (Indagar · el estudiante, solo o en pareja).
Herramienta y medio: app Pl@ntNet (plantnet.org) en el celular o la tableta; muestra varias opciones con su porcentaje de confianza.
Actividad: Cubre con bolsas plásticas ramas de dos especies distintas (identificadas con Pl@ntNet), una de hojas grandes y otra de hojas pequeñas. Predice cuál transpirará más. Tras 24 horas, mide el agua recogida con una jeringa y estima el área foliar. Calcula la transpiración por cm² y explica el ascenso del agua por cohesión-tensión con un experimento de capilaridad con tubos finos.
Evidencia: Ficha «Yo pienso · La IA dice · Lo comprobé»: predicción, especies según la IA rotuladas «hecho con IA», tabla «Especie · Agua (mL) · Área · Transpiración por cm²». Línea en el registro de uso de IA.
→ PISA D2 · TIMSS Razonar</t>
    </r>
  </si>
  <si>
    <t>Respeto al medio ambiente, entorno y territorio
Relaciona la transpiración de los bosques con la recarga hídrica y la conservación del agua en las cuencas salvadoreñas.</t>
  </si>
  <si>
    <t>Respiración y flotación</t>
  </si>
  <si>
    <t>Ventilación pulmonar
Ley de Boyle
Presión intrapulmonar</t>
  </si>
  <si>
    <t>6.5. Modelización de la mecánica respiratoria mediante la ley de Boyle y un modelo de pulmón con botella y globos.</t>
  </si>
  <si>
    <t>E1 · Recuerda la ley de Boyle del gas ideal vista en 9.° y la relación inversa entre presión y volumen a temperatura constante.</t>
  </si>
  <si>
    <t>E5 · Plantea una hipótesis sobre cómo el descenso del diafragma logra que el aire entre a los pulmones sin que lo empujemos.</t>
  </si>
  <si>
    <t>E4 · Construye un modelo de pulmón con una botella plástica, globos y una membrana elástica para representar la ventilación.</t>
  </si>
  <si>
    <t>D4 · Calcula con P₁V₁ = P₂V₂ la presión intrapulmonar al aumentar el volumen torácico y compara con datos fisiológicos publicados.</t>
  </si>
  <si>
    <t>E3 · Predice qué ocurre con la respiración a gran altitud o durante un buceo y justifica con la ley de Boyle.</t>
  </si>
  <si>
    <t>Pensamiento crítico (Explorar)
Analiza las limitaciones del modelo de botella frente al sistema respiratorio real antes de usarlo.</t>
  </si>
  <si>
    <t>Aplicar: calcular presiones con la ley de Boyle. Razonar: evaluar un modelo físico del sistema respiratorio</t>
  </si>
  <si>
    <t>Modelo de pulmón funcional con esquema rotulado y cálculos de presión intrapulmonar</t>
  </si>
  <si>
    <t>6.5. Explica la inspiración y la espiración aplicando la ley de Boyle a los cambios de volumen y presión en los pulmones.</t>
  </si>
  <si>
    <r>
      <rPr>
        <rFont val="Arial"/>
        <color theme="1"/>
        <sz val="9.0"/>
      </rPr>
      <t>5.1 Identificación y resolución de problemas técnicos – Básico</t>
    </r>
    <r>
      <rPr>
        <rFont val="Arial"/>
        <color rgb="FF7030A0"/>
        <sz val="9.0"/>
      </rPr>
      <t xml:space="preserve">
Con la IA (DigComp 3.0, nivel real): CS1.2.13 – Intermedio: valora qué tan confiable es una fuente, teniendo en cuenta el papel de la IA.</t>
    </r>
  </si>
  <si>
    <r>
      <rPr>
        <rFont val="Arial"/>
        <color theme="1"/>
        <sz val="9.0"/>
      </rPr>
      <t>Resolver problemas de calibración del sensor de presión del teléfono en phyphox al registrar cambios dentro de la botella.</t>
    </r>
    <r>
      <rPr>
        <rFont val="Arial"/>
        <color rgb="FF7030A0"/>
        <sz val="9.0"/>
      </rPr>
      <t xml:space="preserve">
IA (Explicar · el estudiante, solo o en pareja).
Herramienta y medio: cuaderno de la unidad en NotebookLM (notebooklm.google.com), que abres con tu cuenta institucional desde el enlace de tu ficha; responde solo con las fuentes cargadas y cita de dónde sale cada idea. Sin internet: usa el resumen impreso de tu ficha.
Actividad: Construye un modelo de pulmón con botella, globos y un guante como diafragma. Predice qué pasa con el volumen y la presión del globo al tirar del diafragma. Explícalo con la ley de Boyle (P·V constante) y compruébalo en el simulador de gases. Pregúntale al cuaderno de NotebookLM: «¿Cómo cambia la presión intrapulmonar en la inspiración y espiración? Cita la fuente». Anota los límites de tu modelo.
Evidencia: Ficha «Yo pienso · La IA dice · Lo comprobé»: foto del modelo, predicción, captura del simulador, Respuesta de IA rotulada con cita y límites del modelo. Línea en el registro de uso de IA.
Refuerza con: PhET «Propiedades de los gases» (https://phet.colorado.edu/sims/html/gas-properties/latest/gas-properties_es.html)
→ PISA E4 · TIMSS Aplicar</t>
    </r>
  </si>
  <si>
    <t>Convivir
Comparte el modelo y el teléfono con el grupo y acuerda turnos para registrar las mediciones.</t>
  </si>
  <si>
    <t>Principio de Arquímedes
Vejiga natatoria
Locomoción acuática</t>
  </si>
  <si>
    <t>6.6. Aplicación del principio de Arquímedes a la regulación de la flotación y la locomoción en organismos acuáticos.</t>
  </si>
  <si>
    <t>E6 · Reflexiona sobre cómo los peces del lago de Ilopango y los tiburones de la costa salvadoreña se mantienen a distintas profundidades.</t>
  </si>
  <si>
    <t>D1 · Pregunta guía: «¿Cómo puede un pez quedarse suspendido en el agua sin nadar?».</t>
  </si>
  <si>
    <t>E4 · Construye un ludión (diablillo de Descartes) con una botella y un gotero para modelar la vejiga natatoria.</t>
  </si>
  <si>
    <t>D4 · Calcula el volumen de gas que un pez de densidad conocida necesita para alcanzar la flotación neutra en agua dulce y salada.</t>
  </si>
  <si>
    <t>E3 · Justifica por qué los tiburones, que carecen de vejiga natatoria, dependen de un hígado rico en aceites y del nado continuo.</t>
  </si>
  <si>
    <t>Creatividad (Explicar)
Propone una representación gráfica original que muestre las fuerzas de empuje y peso en un pez a tres profundidades.</t>
  </si>
  <si>
    <t>Aplicar: calcular volúmenes y densidades con el principio de Arquímedes. Razonar: comparar adaptaciones</t>
  </si>
  <si>
    <t>Ludión funcional con diagrama de fuerzas y cálculo del volumen de la vejiga natatoria en agua dulce y salada</t>
  </si>
  <si>
    <t>6.6. Explica cómo la vejiga natatoria regula la densidad media de un pez aplicando el principio de Arquímedes y calcula el volumen de gas necesario para su flotación neutra.</t>
  </si>
  <si>
    <r>
      <rPr>
        <rFont val="Arial"/>
        <color theme="1"/>
        <sz val="9.0"/>
      </rPr>
      <t>3.2 Integración y reelaboración de contenidos digitales – Básico</t>
    </r>
    <r>
      <rPr>
        <rFont val="Arial"/>
        <color rgb="FF7030A0"/>
        <sz val="9.0"/>
      </rPr>
      <t xml:space="preserve">
Con la IA (DigComp 3.0, nivel real): CS1.2.10 – Intermedio: reconoce que la IA puede dar respuestas equivocadas que parecen ciertas y que quien la usa debe verificarlas.</t>
    </r>
  </si>
  <si>
    <r>
      <rPr>
        <rFont val="Arial"/>
        <color theme="1"/>
        <sz val="9.0"/>
      </rPr>
      <t>Reelaborar un diagrama publicado de la anatomía de un pez añadiendo los vectores de empuje y peso calculados.</t>
    </r>
    <r>
      <rPr>
        <rFont val="Arial"/>
        <color rgb="FF7030A0"/>
        <sz val="9.0"/>
      </rPr>
      <t xml:space="preserve">
IA (Reforzar · el estudiante, solo o en pareja).
Herramienta y medio: Gemini (gemini.google.com) con tu cuenta institucional, en el celular, la tableta o la computadora del CRA. Sin internet: usa la respuesta de IA impresa en tu ficha.
Actividad: Construye un buzo cartesiano con un gotero en una botella y explica cómo imita la vejiga natatoria. Calcula el empuje sobre un pez de volumen conocido en agua dulce y en agua de mar. Pídele a la IA el mismo cálculo y la explicación. Revisa densidades, unidades y si confunde masa con peso. Comprueba con el simulador de flotabilidad.
Evidencia: Ficha «Yo pienso · La IA dice · Lo comprobé»: foto del buzo, tus cálculos, Respuesta de IA rotulada y tabla «Medio · Empuje mío · Empuje de la IA · Error». Línea en el registro de uso de IA.
Refuerza con: PhET «Flotabilidad: Intro» (https://phet.colorado.edu/sims/html/buoyancy-basics/latest/buoyancy-basics_es.html)
→ PISA E3 · TIMSS Aplicar</t>
    </r>
  </si>
  <si>
    <t>Respeto al medio ambiente, entorno y territorio
Valora el lago de Ilopango y la costa como hábitats que deben protegerse de la contaminación que altera la vida acuática.</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</si>
</sst>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2.0"/>
      <color rgb="FF1F4E79"/>
      <name val="Arial"/>
    </font>
    <font>
      <b/>
      <sz val="10.0"/>
      <color rgb="FFFFFFFF"/>
      <name val="Arial"/>
    </font>
    <font>
      <i/>
      <sz val="10.0"/>
      <color theme="1"/>
      <name val="Arial"/>
    </font>
    <font>
      <sz val="10.0"/>
      <color theme="1"/>
      <name val="Arial"/>
    </font>
    <font>
      <b/>
      <sz val="10.0"/>
      <color theme="1"/>
      <name val="Arial"/>
    </font>
    <font/>
    <font>
      <b/>
      <sz val="9.0"/>
      <color rgb="FFFFFFFF"/>
      <name val="Arial"/>
    </font>
    <font>
      <b/>
      <sz val="9.0"/>
      <color theme="1"/>
      <name val="Arial"/>
    </font>
    <font>
      <sz val="9.0"/>
      <color theme="1"/>
      <name val="Arial"/>
    </font>
    <font>
      <i/>
      <sz val="9.0"/>
      <color theme="1"/>
      <name val="Arial"/>
    </font>
    <font>
      <b/>
      <sz val="12.0"/>
      <color rgb="FF7030A0"/>
      <name val="Arial"/>
    </font>
    <font>
      <sz val="11.0"/>
      <color theme="1"/>
      <name val="Calibri"/>
    </font>
    <font>
      <sz val="9.0"/>
      <color rgb="FF7030A0"/>
      <name val="Arial"/>
    </font>
    <font>
      <b/>
      <sz val="9.0"/>
      <color rgb="FF7030A0"/>
      <name val="Arial"/>
    </font>
    <font>
      <u/>
      <sz val="9.0"/>
      <color rgb="FF7030A0"/>
      <name val="Arial"/>
    </font>
  </fonts>
  <fills count="15">
    <fill>
      <patternFill patternType="none"/>
    </fill>
    <fill>
      <patternFill patternType="lightGray"/>
    </fill>
    <fill>
      <patternFill patternType="solid">
        <fgColor rgb="FF1F4E79"/>
        <bgColor rgb="FF1F4E79"/>
      </patternFill>
    </fill>
    <fill>
      <patternFill patternType="solid">
        <fgColor rgb="FFFFE699"/>
        <bgColor rgb="FFFFE699"/>
      </patternFill>
    </fill>
    <fill>
      <patternFill patternType="solid">
        <fgColor rgb="FFF1EDFA"/>
        <bgColor rgb="FFF1EDFA"/>
      </patternFill>
    </fill>
    <fill>
      <patternFill patternType="solid">
        <fgColor rgb="FF5B4A9E"/>
        <bgColor rgb="FF5B4A9E"/>
      </patternFill>
    </fill>
    <fill>
      <patternFill patternType="solid">
        <fgColor rgb="FF00FF00"/>
        <bgColor rgb="FF00FF00"/>
      </patternFill>
    </fill>
    <fill>
      <patternFill patternType="solid">
        <fgColor rgb="FFB7791F"/>
        <bgColor rgb="FFB7791F"/>
      </patternFill>
    </fill>
    <fill>
      <patternFill patternType="solid">
        <fgColor rgb="FFA9D08E"/>
        <bgColor rgb="FFA9D08E"/>
      </patternFill>
    </fill>
    <fill>
      <patternFill patternType="solid">
        <fgColor rgb="FF2C7A7B"/>
        <bgColor rgb="FF2C7A7B"/>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s>
  <borders count="9">
    <border/>
    <border>
      <left style="thin">
        <color rgb="FFA6A6A6"/>
      </left>
      <right style="thin">
        <color rgb="FFA6A6A6"/>
      </right>
      <top style="thin">
        <color rgb="FFA6A6A6"/>
      </top>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2" fillId="2" fontId="2" numFmtId="0" xfId="0" applyAlignment="1" applyBorder="1" applyFill="1" applyFont="1">
      <alignment horizontal="center" shrinkToFit="0" vertical="center" wrapText="1"/>
    </xf>
    <xf borderId="2" fillId="3" fontId="4" numFmtId="0" xfId="0" applyAlignment="1" applyBorder="1" applyFill="1" applyFont="1">
      <alignment shrinkToFit="0" vertical="top" wrapText="1"/>
    </xf>
    <xf borderId="2" fillId="4" fontId="5" numFmtId="0" xfId="0" applyAlignment="1" applyBorder="1" applyFill="1" applyFont="1">
      <alignment shrinkToFit="0" vertical="top" wrapText="1"/>
    </xf>
    <xf borderId="2" fillId="0" fontId="4" numFmtId="0" xfId="0" applyAlignment="1" applyBorder="1" applyFont="1">
      <alignment horizontal="center" shrinkToFit="0" vertical="top" wrapText="1"/>
    </xf>
    <xf borderId="2" fillId="0" fontId="4" numFmtId="0" xfId="0" applyAlignment="1" applyBorder="1" applyFont="1">
      <alignment shrinkToFit="0" vertical="top" wrapText="1"/>
    </xf>
    <xf borderId="3" fillId="5" fontId="2" numFmtId="0" xfId="0" applyAlignment="1" applyBorder="1" applyFill="1" applyFont="1">
      <alignment horizontal="center" shrinkToFit="0" vertical="center" wrapText="1"/>
    </xf>
    <xf borderId="2" fillId="6" fontId="4" numFmtId="0" xfId="0" applyAlignment="1" applyBorder="1" applyFill="1" applyFont="1">
      <alignment horizontal="center" readingOrder="0" shrinkToFit="0" vertical="top" wrapText="1"/>
    </xf>
    <xf borderId="4" fillId="0" fontId="6" numFmtId="0" xfId="0" applyBorder="1" applyFont="1"/>
    <xf borderId="2" fillId="0" fontId="4" numFmtId="0" xfId="0" applyAlignment="1" applyBorder="1" applyFont="1">
      <alignment horizontal="center" readingOrder="0" shrinkToFit="0" vertical="top" wrapText="1"/>
    </xf>
    <xf borderId="5" fillId="0" fontId="6" numFmtId="0" xfId="0" applyBorder="1" applyFont="1"/>
    <xf borderId="1" fillId="7" fontId="2" numFmtId="0" xfId="0" applyAlignment="1" applyBorder="1" applyFill="1" applyFont="1">
      <alignment horizontal="center" shrinkToFit="0" vertical="center" wrapText="1"/>
    </xf>
    <xf borderId="2" fillId="6" fontId="4" numFmtId="0" xfId="0" applyAlignment="1" applyBorder="1" applyFill="1" applyFont="1">
      <alignment horizontal="center" shrinkToFit="0" vertical="top" wrapText="1"/>
    </xf>
    <xf borderId="2" fillId="8" fontId="4" numFmtId="0" xfId="0" applyAlignment="1" applyBorder="1" applyFill="1" applyFont="1">
      <alignment shrinkToFit="0" vertical="top" wrapText="1"/>
    </xf>
    <xf borderId="1" fillId="9" fontId="2" numFmtId="0" xfId="0" applyAlignment="1" applyBorder="1" applyFill="1" applyFont="1">
      <alignment horizontal="center" shrinkToFit="0" vertical="center" wrapText="1"/>
    </xf>
    <xf borderId="6" fillId="0" fontId="6" numFmtId="0" xfId="0" applyBorder="1" applyFont="1"/>
    <xf borderId="2" fillId="10" fontId="5" numFmtId="0" xfId="0" applyAlignment="1" applyBorder="1" applyFill="1" applyFont="1">
      <alignment shrinkToFit="0" vertical="top" wrapText="1"/>
    </xf>
    <xf borderId="2" fillId="0" fontId="5" numFmtId="0" xfId="0" applyAlignment="1" applyBorder="1" applyFont="1">
      <alignment shrinkToFit="0" vertical="top" wrapText="1"/>
    </xf>
    <xf borderId="2" fillId="0" fontId="5" numFmtId="0" xfId="0" applyAlignment="1" applyBorder="1" applyFont="1">
      <alignment readingOrder="0" shrinkToFit="0" vertical="top" wrapText="1"/>
    </xf>
    <xf borderId="2" fillId="5" fontId="7" numFmtId="0" xfId="0" applyAlignment="1" applyBorder="1" applyFill="1" applyFont="1">
      <alignment horizontal="center" shrinkToFit="0" vertical="center" wrapText="1"/>
    </xf>
    <xf borderId="3" fillId="0" fontId="4" numFmtId="0" xfId="0" applyAlignment="1" applyBorder="1" applyFont="1">
      <alignment shrinkToFit="0" vertical="top" wrapText="1"/>
    </xf>
    <xf borderId="2" fillId="3" fontId="8" numFmtId="0" xfId="0" applyAlignment="1" applyBorder="1" applyFill="1" applyFont="1">
      <alignment horizontal="center" shrinkToFit="0" textRotation="90" vertical="center" wrapText="1"/>
    </xf>
    <xf borderId="2" fillId="0" fontId="9" numFmtId="0" xfId="0" applyAlignment="1" applyBorder="1" applyFont="1">
      <alignment shrinkToFit="0" vertical="top" wrapText="1"/>
    </xf>
    <xf borderId="2" fillId="11" fontId="9" numFmtId="0" xfId="0" applyAlignment="1" applyBorder="1" applyFill="1" applyFont="1">
      <alignment shrinkToFit="0" vertical="top" wrapText="1"/>
    </xf>
    <xf borderId="1" fillId="3" fontId="8" numFmtId="0" xfId="0" applyAlignment="1" applyBorder="1" applyFill="1" applyFont="1">
      <alignment horizontal="center" shrinkToFit="0" textRotation="90" vertical="center" wrapText="1"/>
    </xf>
    <xf borderId="1" fillId="11" fontId="9" numFmtId="0" xfId="0" applyAlignment="1" applyBorder="1" applyFill="1" applyFont="1">
      <alignment shrinkToFit="0" vertical="top" wrapText="1"/>
    </xf>
    <xf borderId="1" fillId="0" fontId="9" numFmtId="0" xfId="0" applyAlignment="1" applyBorder="1" applyFont="1">
      <alignment shrinkToFit="0" vertical="top" wrapText="1"/>
    </xf>
    <xf borderId="0" fillId="0" fontId="10" numFmtId="0" xfId="0" applyAlignment="1" applyFont="1">
      <alignment shrinkToFit="0" vertical="top" wrapText="1"/>
    </xf>
    <xf borderId="2" fillId="4" fontId="9" numFmtId="0" xfId="0" applyAlignment="1" applyBorder="1" applyFill="1" applyFont="1">
      <alignment shrinkToFit="0" vertical="top" wrapText="1"/>
    </xf>
    <xf borderId="2" fillId="12" fontId="9" numFmtId="0" xfId="0" applyAlignment="1" applyBorder="1" applyFill="1" applyFont="1">
      <alignment shrinkToFit="0" vertical="top" wrapText="1"/>
    </xf>
    <xf borderId="2" fillId="0" fontId="4" numFmtId="0" xfId="0" applyAlignment="1" applyBorder="1" applyFont="1">
      <alignment readingOrder="0" shrinkToFit="0" vertical="top" wrapText="1"/>
    </xf>
    <xf borderId="2" fillId="13" fontId="9" numFmtId="0" xfId="0" applyAlignment="1" applyBorder="1" applyFill="1" applyFont="1">
      <alignment shrinkToFit="0" vertical="top" wrapText="1"/>
    </xf>
    <xf borderId="2" fillId="14" fontId="9" numFmtId="0" xfId="0" applyAlignment="1" applyBorder="1" applyFill="1" applyFont="1">
      <alignment shrinkToFit="0" vertical="top" wrapText="1"/>
    </xf>
    <xf borderId="2" fillId="0" fontId="8" numFmtId="0" xfId="0" applyAlignment="1" applyBorder="1" applyFont="1">
      <alignment shrinkToFit="0" vertical="top" wrapText="1"/>
    </xf>
    <xf borderId="7" fillId="0" fontId="6" numFmtId="0" xfId="0" applyBorder="1" applyFont="1"/>
    <xf borderId="2" fillId="0" fontId="9" numFmtId="0" xfId="0" applyAlignment="1" applyBorder="1" applyFont="1">
      <alignment readingOrder="0" shrinkToFit="0" vertical="top" wrapText="1"/>
    </xf>
    <xf borderId="0" fillId="0" fontId="4" numFmtId="0" xfId="0" applyAlignment="1" applyFont="1">
      <alignment shrinkToFit="0" vertical="top" wrapText="1"/>
    </xf>
    <xf borderId="2" fillId="7" fontId="2" numFmtId="0" xfId="0" applyAlignment="1" applyBorder="1" applyFill="1" applyFont="1">
      <alignment horizontal="center" shrinkToFit="0" vertical="center" wrapText="1"/>
    </xf>
    <xf borderId="2" fillId="12" fontId="5" numFmtId="0" xfId="0" applyAlignment="1" applyBorder="1" applyFill="1" applyFont="1">
      <alignment shrinkToFit="0" vertical="top" wrapText="1"/>
    </xf>
    <xf borderId="2" fillId="9" fontId="2" numFmtId="0" xfId="0" applyAlignment="1" applyBorder="1" applyFill="1" applyFont="1">
      <alignment horizontal="center" shrinkToFit="0" vertical="center" wrapText="1"/>
    </xf>
    <xf borderId="2" fillId="14" fontId="5" numFmtId="0" xfId="0" applyAlignment="1" applyBorder="1" applyFill="1" applyFont="1">
      <alignment shrinkToFit="0" vertical="top" wrapText="1"/>
    </xf>
    <xf borderId="2" fillId="13" fontId="5" numFmtId="0" xfId="0" applyAlignment="1" applyBorder="1" applyFill="1" applyFont="1">
      <alignment shrinkToFit="0" vertical="top" wrapText="1"/>
    </xf>
    <xf borderId="2" fillId="13" fontId="4" numFmtId="0" xfId="0" applyAlignment="1" applyBorder="1" applyFill="1" applyFont="1">
      <alignment shrinkToFit="0" vertical="top" wrapText="1"/>
    </xf>
    <xf borderId="0" fillId="0" fontId="11" numFmtId="0" xfId="0" applyFont="1"/>
    <xf borderId="0" fillId="0" fontId="12" numFmtId="0" xfId="0" applyFont="1"/>
    <xf borderId="0" fillId="0" fontId="13" numFmtId="0" xfId="0" applyAlignment="1" applyFont="1">
      <alignment shrinkToFit="0" vertical="top" wrapText="1"/>
    </xf>
    <xf borderId="0" fillId="0" fontId="14" numFmtId="0" xfId="0" applyAlignment="1" applyFont="1">
      <alignment shrinkToFit="0" vertical="top" wrapText="1"/>
    </xf>
    <xf borderId="1" fillId="8" fontId="8" numFmtId="0" xfId="0" applyAlignment="1" applyBorder="1" applyFill="1" applyFont="1">
      <alignment horizontal="center" shrinkToFit="0" textRotation="90" vertical="center" wrapText="1"/>
    </xf>
    <xf borderId="0" fillId="0" fontId="15" numFmtId="0" xfId="0" applyAlignment="1" applyFont="1">
      <alignment shrinkToFit="0" vertical="top" wrapText="1"/>
    </xf>
    <xf borderId="2" fillId="11" fontId="9" numFmtId="0" xfId="0" applyAlignment="1" applyBorder="1" applyFill="1" applyFont="1">
      <alignment readingOrder="0" shrinkToFit="0" vertical="top" wrapText="1"/>
    </xf>
    <xf borderId="0" fillId="0" fontId="8" numFmtId="0" xfId="0" applyFont="1"/>
    <xf borderId="8" fillId="3" fontId="12" numFmtId="0" xfId="0" applyBorder="1" applyFill="1" applyFont="1"/>
    <xf borderId="0" fillId="0" fontId="9" numFmtId="0" xfId="0" applyFont="1"/>
    <xf borderId="8" fillId="8" fontId="12" numFmtId="0" xfId="0" applyBorder="1" applyFill="1" applyFont="1"/>
    <xf borderId="8" fillId="11" fontId="12" numFmtId="0" xfId="0" applyBorder="1" applyFill="1" applyFont="1"/>
    <xf borderId="8" fillId="4" fontId="12" numFmtId="0" xfId="0" applyBorder="1" applyFill="1" applyFont="1"/>
    <xf borderId="8" fillId="12" fontId="12" numFmtId="0" xfId="0" applyBorder="1" applyFill="1" applyFont="1"/>
    <xf borderId="8" fillId="13" fontId="12" numFmtId="0" xfId="0" applyBorder="1" applyFill="1" applyFont="1"/>
    <xf borderId="8" fillId="14" fontId="12" numFmtId="0" xfId="0" applyBorder="1" applyFill="1" applyFont="1"/>
    <xf borderId="0" fillId="0" fontId="1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6.0"/>
    <col customWidth="1" min="3" max="3" width="40.0"/>
    <col customWidth="1" min="4" max="4" width="18.0"/>
    <col customWidth="1" min="5" max="5" width="15.0"/>
    <col customWidth="1" min="6" max="6" width="8.0"/>
    <col customWidth="1" min="7" max="7" width="44.0"/>
    <col customWidth="1" min="8" max="8" width="12.0"/>
    <col customWidth="1" min="9" max="9" width="60.0"/>
    <col customWidth="1" min="10" max="26" width="8.71"/>
  </cols>
  <sheetData>
    <row r="1">
      <c r="A1" s="1" t="s">
        <v>1</v>
      </c>
    </row>
    <row r="2" ht="31.5" customHeight="1">
      <c r="A2" s="3" t="s">
        <v>2</v>
      </c>
    </row>
    <row r="4" ht="31.5" customHeight="1">
      <c r="A4" s="4" t="s">
        <v>4</v>
      </c>
      <c r="B4" s="4" t="s">
        <v>6</v>
      </c>
      <c r="C4" s="4" t="s">
        <v>3</v>
      </c>
      <c r="D4" s="4" t="s">
        <v>7</v>
      </c>
      <c r="E4" s="4" t="s">
        <v>9</v>
      </c>
      <c r="F4" s="4" t="s">
        <v>10</v>
      </c>
      <c r="G4" s="4" t="s">
        <v>11</v>
      </c>
      <c r="H4" s="4" t="s">
        <v>13</v>
      </c>
      <c r="I4" s="4" t="s">
        <v>14</v>
      </c>
    </row>
    <row r="5" ht="30.0" customHeight="1">
      <c r="A5" s="5" t="s">
        <v>19</v>
      </c>
      <c r="B5" s="7">
        <v>1.0</v>
      </c>
      <c r="C5" s="8" t="s">
        <v>24</v>
      </c>
      <c r="D5" s="8" t="s">
        <v>27</v>
      </c>
      <c r="E5" s="8" t="s">
        <v>29</v>
      </c>
      <c r="F5" s="10">
        <v>10.0</v>
      </c>
      <c r="G5" s="8" t="s">
        <v>36</v>
      </c>
      <c r="H5" s="12">
        <v>10.0</v>
      </c>
      <c r="I5" s="8"/>
    </row>
    <row r="6" ht="30.0" customHeight="1">
      <c r="A6" s="5" t="s">
        <v>19</v>
      </c>
      <c r="B6" s="7">
        <v>2.0</v>
      </c>
      <c r="C6" s="8" t="s">
        <v>43</v>
      </c>
      <c r="D6" s="8" t="s">
        <v>27</v>
      </c>
      <c r="E6" s="8" t="s">
        <v>47</v>
      </c>
      <c r="F6" s="10">
        <v>14.0</v>
      </c>
      <c r="G6" s="8" t="s">
        <v>49</v>
      </c>
      <c r="H6" s="12">
        <v>16.0</v>
      </c>
      <c r="I6" s="8" t="s">
        <v>52</v>
      </c>
    </row>
    <row r="7" ht="30.0" customHeight="1">
      <c r="A7" s="5" t="s">
        <v>19</v>
      </c>
      <c r="B7" s="7">
        <v>3.0</v>
      </c>
      <c r="C7" s="8" t="s">
        <v>56</v>
      </c>
      <c r="D7" s="8" t="s">
        <v>27</v>
      </c>
      <c r="E7" s="8" t="s">
        <v>47</v>
      </c>
      <c r="F7" s="15">
        <v>12.0</v>
      </c>
      <c r="G7" s="8" t="s">
        <v>65</v>
      </c>
      <c r="H7" s="12">
        <v>14.0</v>
      </c>
      <c r="I7" s="8"/>
    </row>
    <row r="8" ht="30.0" customHeight="1">
      <c r="A8" s="16" t="s">
        <v>19</v>
      </c>
      <c r="B8" s="7">
        <v>4.0</v>
      </c>
      <c r="C8" s="8" t="s">
        <v>69</v>
      </c>
      <c r="D8" s="8" t="s">
        <v>70</v>
      </c>
      <c r="E8" s="8" t="s">
        <v>72</v>
      </c>
      <c r="F8" s="10">
        <v>6.0</v>
      </c>
      <c r="G8" s="8" t="s">
        <v>75</v>
      </c>
      <c r="H8" s="12">
        <v>8.0</v>
      </c>
      <c r="I8" s="8" t="s">
        <v>78</v>
      </c>
    </row>
    <row r="9" ht="30.0" customHeight="1">
      <c r="A9" s="16" t="s">
        <v>19</v>
      </c>
      <c r="B9" s="7">
        <v>5.0</v>
      </c>
      <c r="C9" s="8" t="s">
        <v>82</v>
      </c>
      <c r="D9" s="8" t="s">
        <v>70</v>
      </c>
      <c r="E9" s="8" t="s">
        <v>29</v>
      </c>
      <c r="F9" s="10">
        <v>4.0</v>
      </c>
      <c r="G9" s="8" t="s">
        <v>75</v>
      </c>
      <c r="H9" s="12">
        <v>4.0</v>
      </c>
      <c r="I9" s="8" t="s">
        <v>88</v>
      </c>
    </row>
    <row r="10" ht="30.0" customHeight="1">
      <c r="A10" s="16" t="s">
        <v>19</v>
      </c>
      <c r="B10" s="7">
        <v>6.0</v>
      </c>
      <c r="C10" s="8" t="s">
        <v>90</v>
      </c>
      <c r="D10" s="8" t="s">
        <v>70</v>
      </c>
      <c r="E10" s="8" t="s">
        <v>94</v>
      </c>
      <c r="F10" s="10">
        <v>3.0</v>
      </c>
      <c r="G10" s="8" t="s">
        <v>75</v>
      </c>
      <c r="H10" s="12">
        <v>6.0</v>
      </c>
      <c r="I10" s="8" t="s">
        <v>97</v>
      </c>
    </row>
    <row r="11" ht="30.0" customHeight="1">
      <c r="A11" s="16" t="s">
        <v>19</v>
      </c>
      <c r="B11" s="12">
        <v>7.0</v>
      </c>
      <c r="C11" s="8" t="s">
        <v>101</v>
      </c>
      <c r="D11" s="8" t="s">
        <v>70</v>
      </c>
      <c r="E11" s="8" t="s">
        <v>47</v>
      </c>
      <c r="F11" s="15">
        <v>6.0</v>
      </c>
      <c r="G11" s="8" t="s">
        <v>75</v>
      </c>
      <c r="H11" s="7">
        <v>6.0</v>
      </c>
      <c r="I11" s="8" t="s">
        <v>105</v>
      </c>
    </row>
    <row r="12">
      <c r="A12" s="19" t="s">
        <v>107</v>
      </c>
      <c r="B12" s="20"/>
      <c r="C12" s="21" t="s">
        <v>114</v>
      </c>
      <c r="D12" s="20"/>
      <c r="E12" s="20"/>
      <c r="F12" s="20">
        <f>SUM(F5:F11)</f>
        <v>55</v>
      </c>
      <c r="G12" s="20"/>
      <c r="H12" s="20">
        <f>SUM(H5:H11)</f>
        <v>64</v>
      </c>
      <c r="I12" s="20"/>
    </row>
    <row r="14" ht="30.0" customHeight="1">
      <c r="A14" s="5" t="s">
        <v>153</v>
      </c>
      <c r="B14" s="7">
        <v>1.0</v>
      </c>
      <c r="C14" s="8" t="s">
        <v>156</v>
      </c>
      <c r="D14" s="8" t="s">
        <v>27</v>
      </c>
      <c r="E14" s="8" t="s">
        <v>47</v>
      </c>
      <c r="F14" s="10">
        <v>14.0</v>
      </c>
      <c r="G14" s="8" t="s">
        <v>161</v>
      </c>
      <c r="H14" s="12">
        <v>14.0</v>
      </c>
      <c r="I14" s="8" t="s">
        <v>164</v>
      </c>
    </row>
    <row r="15" ht="30.0" customHeight="1">
      <c r="A15" s="5" t="s">
        <v>153</v>
      </c>
      <c r="B15" s="7">
        <v>2.0</v>
      </c>
      <c r="C15" s="33" t="s">
        <v>169</v>
      </c>
      <c r="D15" s="8" t="s">
        <v>173</v>
      </c>
      <c r="E15" s="8" t="s">
        <v>174</v>
      </c>
      <c r="F15" s="10">
        <v>12.0</v>
      </c>
      <c r="G15" s="8" t="s">
        <v>175</v>
      </c>
      <c r="H15" s="12">
        <v>10.0</v>
      </c>
      <c r="I15" s="8" t="s">
        <v>178</v>
      </c>
    </row>
    <row r="16" ht="30.0" customHeight="1">
      <c r="A16" s="5" t="s">
        <v>153</v>
      </c>
      <c r="B16" s="7">
        <v>3.0</v>
      </c>
      <c r="C16" s="8" t="s">
        <v>181</v>
      </c>
      <c r="D16" s="8" t="s">
        <v>27</v>
      </c>
      <c r="E16" s="8" t="s">
        <v>174</v>
      </c>
      <c r="F16" s="10">
        <v>18.0</v>
      </c>
      <c r="G16" s="8" t="s">
        <v>182</v>
      </c>
      <c r="H16" s="12">
        <v>15.0</v>
      </c>
      <c r="I16" s="8"/>
    </row>
    <row r="17" ht="30.0" customHeight="1">
      <c r="A17" s="5" t="s">
        <v>153</v>
      </c>
      <c r="B17" s="7">
        <v>4.0</v>
      </c>
      <c r="C17" s="8" t="s">
        <v>183</v>
      </c>
      <c r="D17" s="8" t="s">
        <v>27</v>
      </c>
      <c r="E17" s="8" t="s">
        <v>72</v>
      </c>
      <c r="F17" s="10">
        <v>12.0</v>
      </c>
      <c r="G17" s="8" t="s">
        <v>184</v>
      </c>
      <c r="H17" s="12">
        <v>10.0</v>
      </c>
      <c r="I17" s="8"/>
    </row>
    <row r="18" ht="30.0" customHeight="1">
      <c r="A18" s="5" t="s">
        <v>153</v>
      </c>
      <c r="B18" s="7">
        <v>5.0</v>
      </c>
      <c r="C18" s="8" t="s">
        <v>187</v>
      </c>
      <c r="D18" s="8" t="s">
        <v>27</v>
      </c>
      <c r="E18" s="8" t="s">
        <v>29</v>
      </c>
      <c r="F18" s="10">
        <v>10.0</v>
      </c>
      <c r="G18" s="8" t="s">
        <v>188</v>
      </c>
      <c r="H18" s="12">
        <v>10.0</v>
      </c>
      <c r="I18" s="8"/>
    </row>
    <row r="19" ht="30.0" customHeight="1">
      <c r="A19" s="16" t="s">
        <v>153</v>
      </c>
      <c r="B19" s="7">
        <v>6.0</v>
      </c>
      <c r="C19" s="8" t="s">
        <v>189</v>
      </c>
      <c r="D19" s="8" t="s">
        <v>70</v>
      </c>
      <c r="E19" s="8" t="s">
        <v>47</v>
      </c>
      <c r="F19" s="10">
        <v>5.0</v>
      </c>
      <c r="G19" s="8" t="s">
        <v>75</v>
      </c>
      <c r="H19" s="12">
        <v>5.0</v>
      </c>
      <c r="I19" s="8" t="s">
        <v>192</v>
      </c>
    </row>
    <row r="20" ht="15.75" customHeight="1">
      <c r="A20" s="19" t="s">
        <v>194</v>
      </c>
      <c r="B20" s="20"/>
      <c r="C20" s="21" t="s">
        <v>195</v>
      </c>
      <c r="D20" s="20"/>
      <c r="E20" s="20"/>
      <c r="F20" s="20">
        <f>SUM(F14:F19)</f>
        <v>71</v>
      </c>
      <c r="G20" s="20"/>
      <c r="H20" s="20">
        <f>SUM(H14:H19)</f>
        <v>64</v>
      </c>
      <c r="I20"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2:I2"/>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2"/>
      <c r="B1" s="2" t="s">
        <v>3</v>
      </c>
      <c r="C1" s="2" t="s">
        <v>5</v>
      </c>
      <c r="D1" s="2" t="s">
        <v>8</v>
      </c>
      <c r="E1" s="2" t="s">
        <v>15</v>
      </c>
      <c r="F1" s="2" t="s">
        <v>20</v>
      </c>
      <c r="G1" s="2" t="s">
        <v>22</v>
      </c>
      <c r="H1" s="2" t="s">
        <v>12</v>
      </c>
      <c r="I1" s="9" t="s">
        <v>25</v>
      </c>
      <c r="J1" s="11"/>
      <c r="K1" s="11"/>
      <c r="L1" s="11"/>
      <c r="M1" s="13"/>
      <c r="N1" s="14" t="s">
        <v>45</v>
      </c>
      <c r="O1" s="2" t="s">
        <v>58</v>
      </c>
      <c r="P1" s="2" t="s">
        <v>63</v>
      </c>
      <c r="Q1" s="2" t="s">
        <v>66</v>
      </c>
      <c r="R1" s="2" t="s">
        <v>67</v>
      </c>
      <c r="S1" s="2" t="s">
        <v>68</v>
      </c>
      <c r="T1" s="2" t="s">
        <v>71</v>
      </c>
      <c r="U1" s="2" t="s">
        <v>79</v>
      </c>
      <c r="V1" s="17" t="s">
        <v>86</v>
      </c>
      <c r="W1" s="2" t="s">
        <v>95</v>
      </c>
      <c r="X1" s="2" t="s">
        <v>99</v>
      </c>
    </row>
    <row r="2" ht="43.5" customHeight="1">
      <c r="A2" s="18"/>
      <c r="B2" s="18"/>
      <c r="C2" s="18"/>
      <c r="D2" s="18"/>
      <c r="E2" s="18"/>
      <c r="F2" s="18"/>
      <c r="G2" s="18"/>
      <c r="H2" s="18"/>
      <c r="I2" s="22" t="s">
        <v>115</v>
      </c>
      <c r="J2" s="22" t="s">
        <v>117</v>
      </c>
      <c r="K2" s="22" t="s">
        <v>119</v>
      </c>
      <c r="L2" s="22" t="s">
        <v>121</v>
      </c>
      <c r="M2" s="22" t="s">
        <v>123</v>
      </c>
      <c r="N2" s="18"/>
      <c r="O2" s="18"/>
      <c r="P2" s="18"/>
      <c r="Q2" s="18"/>
      <c r="R2" s="18"/>
      <c r="S2" s="18"/>
      <c r="T2" s="18"/>
      <c r="U2" s="18"/>
      <c r="V2" s="18"/>
      <c r="W2" s="18"/>
      <c r="X2" s="18"/>
    </row>
    <row r="3" ht="115.5" customHeight="1">
      <c r="A3" s="27" t="s">
        <v>130</v>
      </c>
      <c r="B3" s="25" t="s">
        <v>140</v>
      </c>
      <c r="C3" s="25" t="s">
        <v>143</v>
      </c>
      <c r="D3" s="25" t="s">
        <v>144</v>
      </c>
      <c r="E3" s="25" t="s">
        <v>145</v>
      </c>
      <c r="F3" s="29" t="s">
        <v>147</v>
      </c>
      <c r="G3" s="29" t="s">
        <v>150</v>
      </c>
      <c r="H3" s="25" t="s">
        <v>23</v>
      </c>
      <c r="I3" s="31" t="s">
        <v>157</v>
      </c>
      <c r="J3" s="31" t="s">
        <v>158</v>
      </c>
      <c r="K3" s="31" t="s">
        <v>160</v>
      </c>
      <c r="L3" s="31" t="s">
        <v>162</v>
      </c>
      <c r="M3" s="31" t="s">
        <v>163</v>
      </c>
      <c r="N3" s="32" t="s">
        <v>166</v>
      </c>
      <c r="O3" s="25" t="s">
        <v>168</v>
      </c>
      <c r="P3" s="25" t="s">
        <v>170</v>
      </c>
      <c r="Q3" s="29" t="s">
        <v>172</v>
      </c>
      <c r="R3" s="25" t="s">
        <v>177</v>
      </c>
      <c r="S3" s="29" t="s">
        <v>179</v>
      </c>
      <c r="T3" s="34" t="s">
        <v>186</v>
      </c>
      <c r="U3" s="34" t="s">
        <v>191</v>
      </c>
      <c r="V3" s="35" t="s">
        <v>193</v>
      </c>
      <c r="W3" s="29" t="s">
        <v>196</v>
      </c>
      <c r="X3" s="36" t="s">
        <v>198</v>
      </c>
    </row>
    <row r="4" ht="75.0" customHeight="1">
      <c r="A4" s="37"/>
      <c r="B4" s="25" t="s">
        <v>140</v>
      </c>
      <c r="C4" s="25" t="s">
        <v>143</v>
      </c>
      <c r="D4" s="25" t="s">
        <v>200</v>
      </c>
      <c r="E4" s="25" t="s">
        <v>201</v>
      </c>
      <c r="F4" s="37"/>
      <c r="G4" s="37"/>
      <c r="H4" s="25" t="s">
        <v>60</v>
      </c>
      <c r="I4" s="31" t="s">
        <v>203</v>
      </c>
      <c r="J4" s="31" t="s">
        <v>205</v>
      </c>
      <c r="K4" s="31" t="s">
        <v>207</v>
      </c>
      <c r="L4" s="31" t="s">
        <v>208</v>
      </c>
      <c r="M4" s="31" t="s">
        <v>209</v>
      </c>
      <c r="N4" s="32" t="s">
        <v>210</v>
      </c>
      <c r="O4" s="25" t="s">
        <v>213</v>
      </c>
      <c r="P4" s="25" t="s">
        <v>215</v>
      </c>
      <c r="Q4" s="37"/>
      <c r="R4" s="25" t="s">
        <v>218</v>
      </c>
      <c r="S4" s="37"/>
      <c r="T4" s="34" t="s">
        <v>223</v>
      </c>
      <c r="U4" s="34" t="s">
        <v>225</v>
      </c>
      <c r="V4" s="35" t="s">
        <v>226</v>
      </c>
      <c r="W4" s="37"/>
      <c r="X4" s="36" t="s">
        <v>227</v>
      </c>
    </row>
    <row r="5" ht="52.5" customHeight="1">
      <c r="A5" s="37"/>
      <c r="B5" s="25" t="s">
        <v>140</v>
      </c>
      <c r="C5" s="25" t="s">
        <v>143</v>
      </c>
      <c r="D5" s="25" t="s">
        <v>230</v>
      </c>
      <c r="E5" s="25" t="s">
        <v>231</v>
      </c>
      <c r="F5" s="37"/>
      <c r="G5" s="37"/>
      <c r="H5" s="25" t="s">
        <v>23</v>
      </c>
      <c r="I5" s="31" t="s">
        <v>233</v>
      </c>
      <c r="J5" s="31" t="s">
        <v>235</v>
      </c>
      <c r="K5" s="31" t="s">
        <v>236</v>
      </c>
      <c r="L5" s="31" t="s">
        <v>237</v>
      </c>
      <c r="M5" s="31" t="s">
        <v>239</v>
      </c>
      <c r="N5" s="32" t="s">
        <v>241</v>
      </c>
      <c r="O5" s="25" t="s">
        <v>243</v>
      </c>
      <c r="P5" s="25" t="s">
        <v>245</v>
      </c>
      <c r="Q5" s="37"/>
      <c r="R5" s="25" t="s">
        <v>248</v>
      </c>
      <c r="S5" s="37"/>
      <c r="T5" s="34" t="s">
        <v>251</v>
      </c>
      <c r="U5" s="34" t="s">
        <v>254</v>
      </c>
      <c r="V5" s="35" t="s">
        <v>255</v>
      </c>
      <c r="W5" s="37"/>
      <c r="X5" s="36" t="s">
        <v>256</v>
      </c>
    </row>
    <row r="6" ht="67.5" customHeight="1">
      <c r="A6" s="37"/>
      <c r="B6" s="25" t="s">
        <v>140</v>
      </c>
      <c r="C6" s="25" t="s">
        <v>259</v>
      </c>
      <c r="D6" s="25" t="s">
        <v>260</v>
      </c>
      <c r="E6" s="25" t="s">
        <v>261</v>
      </c>
      <c r="F6" s="37"/>
      <c r="G6" s="37"/>
      <c r="H6" s="25" t="s">
        <v>23</v>
      </c>
      <c r="I6" s="31" t="s">
        <v>264</v>
      </c>
      <c r="J6" s="31" t="s">
        <v>266</v>
      </c>
      <c r="K6" s="31" t="s">
        <v>267</v>
      </c>
      <c r="L6" s="31" t="s">
        <v>268</v>
      </c>
      <c r="M6" s="31" t="s">
        <v>270</v>
      </c>
      <c r="N6" s="32" t="s">
        <v>271</v>
      </c>
      <c r="O6" s="25" t="s">
        <v>272</v>
      </c>
      <c r="P6" s="25" t="s">
        <v>273</v>
      </c>
      <c r="Q6" s="37"/>
      <c r="R6" s="25" t="s">
        <v>275</v>
      </c>
      <c r="S6" s="37"/>
      <c r="T6" s="34" t="s">
        <v>279</v>
      </c>
      <c r="U6" s="34" t="s">
        <v>284</v>
      </c>
      <c r="V6" s="35" t="s">
        <v>286</v>
      </c>
      <c r="W6" s="37"/>
      <c r="X6" s="36" t="s">
        <v>287</v>
      </c>
    </row>
    <row r="7" ht="75.0" customHeight="1">
      <c r="A7" s="37"/>
      <c r="B7" s="25" t="s">
        <v>140</v>
      </c>
      <c r="C7" s="25" t="s">
        <v>259</v>
      </c>
      <c r="D7" s="25" t="s">
        <v>288</v>
      </c>
      <c r="E7" s="38" t="s">
        <v>290</v>
      </c>
      <c r="F7" s="37"/>
      <c r="G7" s="37"/>
      <c r="H7" s="25" t="s">
        <v>23</v>
      </c>
      <c r="I7" s="31" t="s">
        <v>293</v>
      </c>
      <c r="J7" s="31" t="s">
        <v>294</v>
      </c>
      <c r="K7" s="31" t="s">
        <v>295</v>
      </c>
      <c r="L7" s="31" t="s">
        <v>296</v>
      </c>
      <c r="M7" s="31" t="s">
        <v>297</v>
      </c>
      <c r="N7" s="32" t="s">
        <v>298</v>
      </c>
      <c r="O7" s="25" t="s">
        <v>300</v>
      </c>
      <c r="P7" s="25" t="s">
        <v>302</v>
      </c>
      <c r="Q7" s="37"/>
      <c r="R7" s="25" t="s">
        <v>304</v>
      </c>
      <c r="S7" s="37"/>
      <c r="T7" s="34" t="s">
        <v>306</v>
      </c>
      <c r="U7" s="34" t="s">
        <v>307</v>
      </c>
      <c r="V7" s="35" t="s">
        <v>308</v>
      </c>
      <c r="W7" s="37"/>
      <c r="X7" s="36" t="s">
        <v>309</v>
      </c>
    </row>
    <row r="8" ht="39.0" customHeight="1">
      <c r="A8" s="37"/>
      <c r="B8" s="25" t="s">
        <v>140</v>
      </c>
      <c r="C8" s="25" t="s">
        <v>311</v>
      </c>
      <c r="D8" s="25" t="s">
        <v>312</v>
      </c>
      <c r="E8" s="38" t="s">
        <v>313</v>
      </c>
      <c r="F8" s="37"/>
      <c r="G8" s="37"/>
      <c r="H8" s="25" t="s">
        <v>23</v>
      </c>
      <c r="I8" s="31" t="s">
        <v>314</v>
      </c>
      <c r="J8" s="31" t="s">
        <v>315</v>
      </c>
      <c r="K8" s="31" t="s">
        <v>317</v>
      </c>
      <c r="L8" s="31" t="s">
        <v>319</v>
      </c>
      <c r="M8" s="31" t="s">
        <v>321</v>
      </c>
      <c r="N8" s="32" t="s">
        <v>322</v>
      </c>
      <c r="O8" s="25" t="s">
        <v>325</v>
      </c>
      <c r="P8" s="25" t="s">
        <v>327</v>
      </c>
      <c r="Q8" s="37"/>
      <c r="R8" s="25" t="s">
        <v>328</v>
      </c>
      <c r="S8" s="37"/>
      <c r="T8" s="34" t="s">
        <v>332</v>
      </c>
      <c r="U8" s="34" t="s">
        <v>333</v>
      </c>
      <c r="V8" s="35" t="s">
        <v>335</v>
      </c>
      <c r="W8" s="37"/>
      <c r="X8" s="36" t="s">
        <v>336</v>
      </c>
    </row>
    <row r="9" ht="69.0" customHeight="1">
      <c r="A9" s="37"/>
      <c r="B9" s="25" t="s">
        <v>140</v>
      </c>
      <c r="C9" s="25" t="s">
        <v>311</v>
      </c>
      <c r="D9" s="25" t="s">
        <v>338</v>
      </c>
      <c r="E9" s="38" t="s">
        <v>339</v>
      </c>
      <c r="F9" s="37"/>
      <c r="G9" s="37"/>
      <c r="H9" s="25" t="s">
        <v>60</v>
      </c>
      <c r="I9" s="31" t="s">
        <v>341</v>
      </c>
      <c r="J9" s="31" t="s">
        <v>342</v>
      </c>
      <c r="K9" s="31" t="s">
        <v>343</v>
      </c>
      <c r="L9" s="31" t="s">
        <v>344</v>
      </c>
      <c r="M9" s="31" t="s">
        <v>345</v>
      </c>
      <c r="N9" s="32" t="s">
        <v>346</v>
      </c>
      <c r="O9" s="25" t="s">
        <v>348</v>
      </c>
      <c r="P9" s="25" t="s">
        <v>349</v>
      </c>
      <c r="Q9" s="37"/>
      <c r="R9" s="25" t="s">
        <v>351</v>
      </c>
      <c r="S9" s="37"/>
      <c r="T9" s="34" t="s">
        <v>352</v>
      </c>
      <c r="U9" s="34" t="s">
        <v>355</v>
      </c>
      <c r="V9" s="35" t="s">
        <v>356</v>
      </c>
      <c r="W9" s="37"/>
      <c r="X9" s="36" t="s">
        <v>357</v>
      </c>
    </row>
    <row r="10" ht="84.0" customHeight="1">
      <c r="A10" s="37"/>
      <c r="B10" s="25" t="s">
        <v>140</v>
      </c>
      <c r="C10" s="25" t="s">
        <v>311</v>
      </c>
      <c r="D10" s="25" t="s">
        <v>360</v>
      </c>
      <c r="E10" s="38" t="s">
        <v>361</v>
      </c>
      <c r="F10" s="37"/>
      <c r="G10" s="37"/>
      <c r="H10" s="25" t="s">
        <v>91</v>
      </c>
      <c r="I10" s="31" t="s">
        <v>365</v>
      </c>
      <c r="J10" s="31" t="s">
        <v>367</v>
      </c>
      <c r="K10" s="31" t="s">
        <v>370</v>
      </c>
      <c r="L10" s="31" t="s">
        <v>372</v>
      </c>
      <c r="M10" s="31" t="s">
        <v>374</v>
      </c>
      <c r="N10" s="32" t="s">
        <v>376</v>
      </c>
      <c r="O10" s="25" t="s">
        <v>377</v>
      </c>
      <c r="P10" s="25" t="s">
        <v>378</v>
      </c>
      <c r="Q10" s="37"/>
      <c r="R10" s="25" t="s">
        <v>380</v>
      </c>
      <c r="S10" s="37"/>
      <c r="T10" s="34" t="s">
        <v>381</v>
      </c>
      <c r="U10" s="34" t="s">
        <v>385</v>
      </c>
      <c r="V10" s="35" t="s">
        <v>386</v>
      </c>
      <c r="W10" s="37"/>
      <c r="X10" s="36" t="s">
        <v>387</v>
      </c>
    </row>
    <row r="11" ht="58.5" customHeight="1">
      <c r="A11" s="37"/>
      <c r="B11" s="25" t="s">
        <v>140</v>
      </c>
      <c r="C11" s="25" t="s">
        <v>389</v>
      </c>
      <c r="D11" s="25" t="s">
        <v>391</v>
      </c>
      <c r="E11" s="38" t="s">
        <v>393</v>
      </c>
      <c r="F11" s="37"/>
      <c r="G11" s="37"/>
      <c r="H11" s="25" t="s">
        <v>23</v>
      </c>
      <c r="I11" s="31" t="s">
        <v>397</v>
      </c>
      <c r="J11" s="31" t="s">
        <v>399</v>
      </c>
      <c r="K11" s="31" t="s">
        <v>402</v>
      </c>
      <c r="L11" s="31" t="s">
        <v>405</v>
      </c>
      <c r="M11" s="31" t="s">
        <v>407</v>
      </c>
      <c r="N11" s="32" t="s">
        <v>409</v>
      </c>
      <c r="O11" s="25" t="s">
        <v>411</v>
      </c>
      <c r="P11" s="25" t="s">
        <v>412</v>
      </c>
      <c r="Q11" s="37"/>
      <c r="R11" s="25" t="s">
        <v>416</v>
      </c>
      <c r="S11" s="37"/>
      <c r="T11" s="34" t="s">
        <v>419</v>
      </c>
      <c r="U11" s="34" t="s">
        <v>427</v>
      </c>
      <c r="V11" s="35" t="s">
        <v>429</v>
      </c>
      <c r="W11" s="37"/>
      <c r="X11" s="36" t="s">
        <v>430</v>
      </c>
    </row>
    <row r="12" ht="70.5" customHeight="1">
      <c r="A12" s="18"/>
      <c r="B12" s="25" t="s">
        <v>140</v>
      </c>
      <c r="C12" s="25"/>
      <c r="D12" s="25" t="s">
        <v>434</v>
      </c>
      <c r="E12" s="38" t="s">
        <v>435</v>
      </c>
      <c r="F12" s="18"/>
      <c r="G12" s="18"/>
      <c r="H12" s="25" t="s">
        <v>23</v>
      </c>
      <c r="I12" s="31" t="s">
        <v>438</v>
      </c>
      <c r="J12" s="31" t="s">
        <v>439</v>
      </c>
      <c r="K12" s="31" t="s">
        <v>442</v>
      </c>
      <c r="L12" s="31" t="s">
        <v>444</v>
      </c>
      <c r="M12" s="31" t="s">
        <v>446</v>
      </c>
      <c r="N12" s="32" t="s">
        <v>448</v>
      </c>
      <c r="O12" s="25" t="s">
        <v>450</v>
      </c>
      <c r="P12" s="25" t="s">
        <v>452</v>
      </c>
      <c r="Q12" s="18"/>
      <c r="R12" s="25" t="s">
        <v>454</v>
      </c>
      <c r="S12" s="18"/>
      <c r="T12" s="34" t="s">
        <v>456</v>
      </c>
      <c r="U12" s="34" t="s">
        <v>458</v>
      </c>
      <c r="V12" s="35" t="s">
        <v>459</v>
      </c>
      <c r="W12" s="18"/>
      <c r="X12" s="36" t="s">
        <v>460</v>
      </c>
    </row>
    <row r="13" ht="102.0" customHeight="1">
      <c r="A13" s="27" t="s">
        <v>461</v>
      </c>
      <c r="B13" s="25" t="s">
        <v>463</v>
      </c>
      <c r="C13" s="25" t="s">
        <v>465</v>
      </c>
      <c r="D13" s="25" t="s">
        <v>466</v>
      </c>
      <c r="E13" s="25" t="s">
        <v>468</v>
      </c>
      <c r="F13" s="29" t="s">
        <v>469</v>
      </c>
      <c r="G13" s="29" t="s">
        <v>473</v>
      </c>
      <c r="H13" s="25" t="s">
        <v>23</v>
      </c>
      <c r="I13" s="31" t="s">
        <v>481</v>
      </c>
      <c r="J13" s="31" t="s">
        <v>483</v>
      </c>
      <c r="K13" s="31" t="s">
        <v>485</v>
      </c>
      <c r="L13" s="31" t="s">
        <v>486</v>
      </c>
      <c r="M13" s="31" t="s">
        <v>487</v>
      </c>
      <c r="N13" s="32" t="s">
        <v>489</v>
      </c>
      <c r="O13" s="25" t="s">
        <v>490</v>
      </c>
      <c r="P13" s="25" t="s">
        <v>491</v>
      </c>
      <c r="Q13" s="29" t="s">
        <v>492</v>
      </c>
      <c r="R13" s="25" t="s">
        <v>496</v>
      </c>
      <c r="S13" s="29" t="s">
        <v>497</v>
      </c>
      <c r="T13" s="34" t="s">
        <v>502</v>
      </c>
      <c r="U13" s="34" t="s">
        <v>509</v>
      </c>
      <c r="V13" s="35" t="s">
        <v>511</v>
      </c>
      <c r="W13" s="29" t="s">
        <v>514</v>
      </c>
      <c r="X13" s="36" t="s">
        <v>516</v>
      </c>
    </row>
    <row r="14" ht="72.0" customHeight="1">
      <c r="A14" s="37"/>
      <c r="B14" s="25" t="s">
        <v>463</v>
      </c>
      <c r="C14" s="25" t="s">
        <v>465</v>
      </c>
      <c r="D14" s="25" t="s">
        <v>521</v>
      </c>
      <c r="E14" s="25" t="s">
        <v>522</v>
      </c>
      <c r="F14" s="37"/>
      <c r="G14" s="37"/>
      <c r="H14" s="25" t="s">
        <v>23</v>
      </c>
      <c r="I14" s="31" t="s">
        <v>526</v>
      </c>
      <c r="J14" s="31" t="s">
        <v>527</v>
      </c>
      <c r="K14" s="31" t="s">
        <v>530</v>
      </c>
      <c r="L14" s="31" t="s">
        <v>533</v>
      </c>
      <c r="M14" s="31" t="s">
        <v>535</v>
      </c>
      <c r="N14" s="32" t="s">
        <v>538</v>
      </c>
      <c r="O14" s="25" t="s">
        <v>541</v>
      </c>
      <c r="P14" s="25" t="s">
        <v>543</v>
      </c>
      <c r="Q14" s="37"/>
      <c r="R14" s="25" t="s">
        <v>546</v>
      </c>
      <c r="S14" s="37"/>
      <c r="T14" s="34" t="s">
        <v>548</v>
      </c>
      <c r="U14" s="34" t="s">
        <v>552</v>
      </c>
      <c r="V14" s="35" t="s">
        <v>556</v>
      </c>
      <c r="W14" s="37"/>
      <c r="X14" s="36" t="s">
        <v>559</v>
      </c>
    </row>
    <row r="15" ht="69.0" customHeight="1">
      <c r="A15" s="37"/>
      <c r="B15" s="25" t="s">
        <v>463</v>
      </c>
      <c r="C15" s="25" t="s">
        <v>561</v>
      </c>
      <c r="D15" s="25" t="s">
        <v>563</v>
      </c>
      <c r="E15" s="25" t="s">
        <v>566</v>
      </c>
      <c r="F15" s="37"/>
      <c r="G15" s="37"/>
      <c r="H15" s="25" t="s">
        <v>23</v>
      </c>
      <c r="I15" s="31" t="s">
        <v>568</v>
      </c>
      <c r="J15" s="31" t="s">
        <v>570</v>
      </c>
      <c r="K15" s="31" t="s">
        <v>572</v>
      </c>
      <c r="L15" s="31" t="s">
        <v>575</v>
      </c>
      <c r="M15" s="31" t="s">
        <v>578</v>
      </c>
      <c r="N15" s="32" t="s">
        <v>580</v>
      </c>
      <c r="O15" s="25" t="s">
        <v>582</v>
      </c>
      <c r="P15" s="25" t="s">
        <v>584</v>
      </c>
      <c r="Q15" s="37"/>
      <c r="R15" s="25" t="s">
        <v>588</v>
      </c>
      <c r="S15" s="37"/>
      <c r="T15" s="34" t="s">
        <v>592</v>
      </c>
      <c r="U15" s="34" t="s">
        <v>600</v>
      </c>
      <c r="V15" s="35" t="s">
        <v>601</v>
      </c>
      <c r="W15" s="37"/>
      <c r="X15" s="36" t="s">
        <v>605</v>
      </c>
    </row>
    <row r="16" ht="76.5" customHeight="1">
      <c r="A16" s="37"/>
      <c r="B16" s="25" t="s">
        <v>463</v>
      </c>
      <c r="C16" s="25" t="s">
        <v>609</v>
      </c>
      <c r="D16" s="25" t="s">
        <v>610</v>
      </c>
      <c r="E16" s="25" t="s">
        <v>611</v>
      </c>
      <c r="F16" s="37"/>
      <c r="G16" s="37"/>
      <c r="H16" s="25" t="s">
        <v>23</v>
      </c>
      <c r="I16" s="31" t="s">
        <v>614</v>
      </c>
      <c r="J16" s="31" t="s">
        <v>615</v>
      </c>
      <c r="K16" s="31" t="s">
        <v>617</v>
      </c>
      <c r="L16" s="31" t="s">
        <v>619</v>
      </c>
      <c r="M16" s="31" t="s">
        <v>621</v>
      </c>
      <c r="N16" s="32" t="s">
        <v>623</v>
      </c>
      <c r="O16" s="25" t="s">
        <v>626</v>
      </c>
      <c r="P16" s="25" t="s">
        <v>628</v>
      </c>
      <c r="Q16" s="37"/>
      <c r="R16" s="25" t="s">
        <v>631</v>
      </c>
      <c r="S16" s="37"/>
      <c r="T16" s="34" t="s">
        <v>637</v>
      </c>
      <c r="U16" s="34" t="s">
        <v>643</v>
      </c>
      <c r="V16" s="35" t="s">
        <v>645</v>
      </c>
      <c r="W16" s="37"/>
      <c r="X16" s="36" t="s">
        <v>647</v>
      </c>
    </row>
    <row r="17" ht="72.0" customHeight="1">
      <c r="A17" s="37"/>
      <c r="B17" s="25" t="s">
        <v>463</v>
      </c>
      <c r="C17" s="25" t="s">
        <v>609</v>
      </c>
      <c r="D17" s="25" t="s">
        <v>652</v>
      </c>
      <c r="E17" s="25" t="s">
        <v>654</v>
      </c>
      <c r="F17" s="37"/>
      <c r="G17" s="37"/>
      <c r="H17" s="25" t="s">
        <v>60</v>
      </c>
      <c r="I17" s="31" t="s">
        <v>661</v>
      </c>
      <c r="J17" s="31" t="s">
        <v>662</v>
      </c>
      <c r="K17" s="31" t="s">
        <v>663</v>
      </c>
      <c r="L17" s="31" t="s">
        <v>664</v>
      </c>
      <c r="M17" s="31" t="s">
        <v>665</v>
      </c>
      <c r="N17" s="32" t="s">
        <v>666</v>
      </c>
      <c r="O17" s="25" t="s">
        <v>667</v>
      </c>
      <c r="P17" s="25" t="s">
        <v>668</v>
      </c>
      <c r="Q17" s="37"/>
      <c r="R17" s="25" t="s">
        <v>670</v>
      </c>
      <c r="S17" s="37"/>
      <c r="T17" s="34" t="s">
        <v>674</v>
      </c>
      <c r="U17" s="34" t="s">
        <v>678</v>
      </c>
      <c r="V17" s="35" t="s">
        <v>681</v>
      </c>
      <c r="W17" s="37"/>
      <c r="X17" s="36" t="s">
        <v>682</v>
      </c>
    </row>
    <row r="18" ht="76.5" customHeight="1">
      <c r="A18" s="37"/>
      <c r="B18" s="25" t="s">
        <v>463</v>
      </c>
      <c r="C18" s="25" t="s">
        <v>684</v>
      </c>
      <c r="D18" s="25"/>
      <c r="E18" s="25" t="s">
        <v>686</v>
      </c>
      <c r="F18" s="37"/>
      <c r="G18" s="37"/>
      <c r="H18" s="25" t="s">
        <v>91</v>
      </c>
      <c r="I18" s="31" t="s">
        <v>690</v>
      </c>
      <c r="J18" s="31" t="s">
        <v>691</v>
      </c>
      <c r="K18" s="31" t="s">
        <v>692</v>
      </c>
      <c r="L18" s="31" t="s">
        <v>693</v>
      </c>
      <c r="M18" s="31" t="s">
        <v>695</v>
      </c>
      <c r="N18" s="32" t="s">
        <v>696</v>
      </c>
      <c r="O18" s="25" t="s">
        <v>697</v>
      </c>
      <c r="P18" s="25" t="s">
        <v>698</v>
      </c>
      <c r="Q18" s="37"/>
      <c r="R18" s="25" t="s">
        <v>699</v>
      </c>
      <c r="S18" s="37"/>
      <c r="T18" s="34" t="s">
        <v>702</v>
      </c>
      <c r="U18" s="34" t="s">
        <v>706</v>
      </c>
      <c r="V18" s="35" t="s">
        <v>708</v>
      </c>
      <c r="W18" s="37"/>
      <c r="X18" s="36" t="s">
        <v>711</v>
      </c>
    </row>
    <row r="19" ht="66.0" customHeight="1">
      <c r="A19" s="37"/>
      <c r="B19" s="25" t="s">
        <v>463</v>
      </c>
      <c r="C19" s="25" t="s">
        <v>684</v>
      </c>
      <c r="D19" s="25" t="s">
        <v>715</v>
      </c>
      <c r="E19" s="25" t="s">
        <v>717</v>
      </c>
      <c r="F19" s="37"/>
      <c r="G19" s="37"/>
      <c r="H19" s="25" t="s">
        <v>60</v>
      </c>
      <c r="I19" s="31" t="s">
        <v>723</v>
      </c>
      <c r="J19" s="31" t="s">
        <v>725</v>
      </c>
      <c r="K19" s="31" t="s">
        <v>727</v>
      </c>
      <c r="L19" s="31" t="s">
        <v>728</v>
      </c>
      <c r="M19" s="31" t="s">
        <v>731</v>
      </c>
      <c r="N19" s="32" t="s">
        <v>733</v>
      </c>
      <c r="O19" s="25" t="s">
        <v>734</v>
      </c>
      <c r="P19" s="25" t="s">
        <v>737</v>
      </c>
      <c r="Q19" s="37"/>
      <c r="R19" s="25" t="s">
        <v>740</v>
      </c>
      <c r="S19" s="37"/>
      <c r="T19" s="34" t="s">
        <v>744</v>
      </c>
      <c r="U19" s="34" t="s">
        <v>751</v>
      </c>
      <c r="V19" s="35" t="s">
        <v>754</v>
      </c>
      <c r="W19" s="37"/>
      <c r="X19" s="36" t="s">
        <v>756</v>
      </c>
    </row>
    <row r="20" ht="78.0" customHeight="1">
      <c r="A20" s="37"/>
      <c r="B20" s="25" t="s">
        <v>463</v>
      </c>
      <c r="C20" s="25" t="s">
        <v>684</v>
      </c>
      <c r="D20" s="25" t="s">
        <v>760</v>
      </c>
      <c r="E20" s="25" t="s">
        <v>762</v>
      </c>
      <c r="F20" s="37"/>
      <c r="G20" s="37"/>
      <c r="H20" s="25" t="s">
        <v>91</v>
      </c>
      <c r="I20" s="31" t="s">
        <v>768</v>
      </c>
      <c r="J20" s="31" t="s">
        <v>770</v>
      </c>
      <c r="K20" s="31" t="s">
        <v>771</v>
      </c>
      <c r="L20" s="31" t="s">
        <v>772</v>
      </c>
      <c r="M20" s="31" t="s">
        <v>773</v>
      </c>
      <c r="N20" s="32" t="s">
        <v>774</v>
      </c>
      <c r="O20" s="25" t="s">
        <v>775</v>
      </c>
      <c r="P20" s="25" t="s">
        <v>776</v>
      </c>
      <c r="Q20" s="37"/>
      <c r="R20" s="25" t="s">
        <v>777</v>
      </c>
      <c r="S20" s="37"/>
      <c r="T20" s="34" t="s">
        <v>779</v>
      </c>
      <c r="U20" s="34" t="s">
        <v>780</v>
      </c>
      <c r="V20" s="35" t="s">
        <v>781</v>
      </c>
      <c r="W20" s="37"/>
      <c r="X20" s="36" t="s">
        <v>782</v>
      </c>
    </row>
    <row r="21" ht="73.5" customHeight="1">
      <c r="A21" s="37"/>
      <c r="B21" s="25" t="s">
        <v>463</v>
      </c>
      <c r="C21" s="25" t="s">
        <v>784</v>
      </c>
      <c r="D21" s="25" t="s">
        <v>785</v>
      </c>
      <c r="E21" s="25" t="s">
        <v>786</v>
      </c>
      <c r="F21" s="37"/>
      <c r="G21" s="37"/>
      <c r="H21" s="25" t="s">
        <v>23</v>
      </c>
      <c r="I21" s="31" t="s">
        <v>787</v>
      </c>
      <c r="J21" s="31" t="s">
        <v>790</v>
      </c>
      <c r="K21" s="31" t="s">
        <v>791</v>
      </c>
      <c r="L21" s="31" t="s">
        <v>792</v>
      </c>
      <c r="M21" s="31" t="s">
        <v>795</v>
      </c>
      <c r="N21" s="32" t="s">
        <v>797</v>
      </c>
      <c r="O21" s="25" t="s">
        <v>799</v>
      </c>
      <c r="P21" s="25" t="s">
        <v>802</v>
      </c>
      <c r="Q21" s="37"/>
      <c r="R21" s="25" t="s">
        <v>804</v>
      </c>
      <c r="S21" s="37"/>
      <c r="T21" s="34" t="s">
        <v>807</v>
      </c>
      <c r="U21" s="34" t="s">
        <v>816</v>
      </c>
      <c r="V21" s="35" t="s">
        <v>819</v>
      </c>
      <c r="W21" s="37"/>
      <c r="X21" s="36" t="s">
        <v>821</v>
      </c>
    </row>
    <row r="22" ht="64.5" customHeight="1">
      <c r="A22" s="37"/>
      <c r="B22" s="25" t="s">
        <v>463</v>
      </c>
      <c r="C22" s="25" t="s">
        <v>784</v>
      </c>
      <c r="D22" s="25" t="s">
        <v>826</v>
      </c>
      <c r="E22" s="25" t="s">
        <v>828</v>
      </c>
      <c r="F22" s="37"/>
      <c r="G22" s="37"/>
      <c r="H22" s="25" t="s">
        <v>60</v>
      </c>
      <c r="I22" s="31" t="s">
        <v>832</v>
      </c>
      <c r="J22" s="31" t="s">
        <v>834</v>
      </c>
      <c r="K22" s="31" t="s">
        <v>837</v>
      </c>
      <c r="L22" s="31" t="s">
        <v>840</v>
      </c>
      <c r="M22" s="31" t="s">
        <v>842</v>
      </c>
      <c r="N22" s="32" t="s">
        <v>844</v>
      </c>
      <c r="O22" s="25" t="s">
        <v>846</v>
      </c>
      <c r="P22" s="25" t="s">
        <v>849</v>
      </c>
      <c r="Q22" s="37"/>
      <c r="R22" s="25" t="s">
        <v>852</v>
      </c>
      <c r="S22" s="37"/>
      <c r="T22" s="34" t="s">
        <v>855</v>
      </c>
      <c r="U22" s="34" t="s">
        <v>859</v>
      </c>
      <c r="V22" s="35" t="s">
        <v>862</v>
      </c>
      <c r="W22" s="37"/>
      <c r="X22" s="36" t="s">
        <v>864</v>
      </c>
    </row>
    <row r="23" ht="82.5" customHeight="1">
      <c r="A23" s="37"/>
      <c r="B23" s="25" t="s">
        <v>463</v>
      </c>
      <c r="C23" s="25" t="s">
        <v>784</v>
      </c>
      <c r="D23" s="25" t="s">
        <v>868</v>
      </c>
      <c r="E23" s="25" t="s">
        <v>870</v>
      </c>
      <c r="F23" s="37"/>
      <c r="G23" s="37"/>
      <c r="H23" s="25" t="s">
        <v>23</v>
      </c>
      <c r="I23" s="31" t="s">
        <v>875</v>
      </c>
      <c r="J23" s="31" t="s">
        <v>876</v>
      </c>
      <c r="K23" s="31" t="s">
        <v>878</v>
      </c>
      <c r="L23" s="31" t="s">
        <v>880</v>
      </c>
      <c r="M23" s="31" t="s">
        <v>883</v>
      </c>
      <c r="N23" s="32" t="s">
        <v>886</v>
      </c>
      <c r="O23" s="25" t="s">
        <v>888</v>
      </c>
      <c r="P23" s="25" t="s">
        <v>890</v>
      </c>
      <c r="Q23" s="37"/>
      <c r="R23" s="25" t="s">
        <v>892</v>
      </c>
      <c r="S23" s="37"/>
      <c r="T23" s="34" t="s">
        <v>897</v>
      </c>
      <c r="U23" s="34" t="s">
        <v>899</v>
      </c>
      <c r="V23" s="35" t="s">
        <v>900</v>
      </c>
      <c r="W23" s="37"/>
      <c r="X23" s="36" t="s">
        <v>901</v>
      </c>
    </row>
    <row r="24" ht="70.5" customHeight="1">
      <c r="A24" s="37"/>
      <c r="B24" s="25" t="s">
        <v>463</v>
      </c>
      <c r="C24" s="25" t="s">
        <v>902</v>
      </c>
      <c r="D24" s="25" t="s">
        <v>903</v>
      </c>
      <c r="E24" s="25" t="s">
        <v>904</v>
      </c>
      <c r="F24" s="37"/>
      <c r="G24" s="37"/>
      <c r="H24" s="25" t="s">
        <v>60</v>
      </c>
      <c r="I24" s="31" t="s">
        <v>907</v>
      </c>
      <c r="J24" s="31" t="s">
        <v>908</v>
      </c>
      <c r="K24" s="31" t="s">
        <v>911</v>
      </c>
      <c r="L24" s="31" t="s">
        <v>913</v>
      </c>
      <c r="M24" s="31" t="s">
        <v>914</v>
      </c>
      <c r="N24" s="32" t="s">
        <v>915</v>
      </c>
      <c r="O24" s="25" t="s">
        <v>918</v>
      </c>
      <c r="P24" s="25" t="s">
        <v>920</v>
      </c>
      <c r="Q24" s="37"/>
      <c r="R24" s="25" t="s">
        <v>921</v>
      </c>
      <c r="S24" s="37"/>
      <c r="T24" s="34" t="s">
        <v>922</v>
      </c>
      <c r="U24" s="34" t="s">
        <v>924</v>
      </c>
      <c r="V24" s="35" t="s">
        <v>926</v>
      </c>
      <c r="W24" s="37"/>
      <c r="X24" s="36" t="s">
        <v>927</v>
      </c>
    </row>
    <row r="25" ht="72.0" customHeight="1">
      <c r="A25" s="37"/>
      <c r="B25" s="25" t="s">
        <v>463</v>
      </c>
      <c r="C25" s="25" t="s">
        <v>902</v>
      </c>
      <c r="D25" s="25" t="s">
        <v>930</v>
      </c>
      <c r="E25" s="25" t="s">
        <v>932</v>
      </c>
      <c r="F25" s="37"/>
      <c r="G25" s="37"/>
      <c r="H25" s="25" t="s">
        <v>60</v>
      </c>
      <c r="I25" s="31" t="s">
        <v>936</v>
      </c>
      <c r="J25" s="31" t="s">
        <v>938</v>
      </c>
      <c r="K25" s="31" t="s">
        <v>940</v>
      </c>
      <c r="L25" s="31" t="s">
        <v>943</v>
      </c>
      <c r="M25" s="31" t="s">
        <v>949</v>
      </c>
      <c r="N25" s="32" t="s">
        <v>951</v>
      </c>
      <c r="O25" s="25" t="s">
        <v>953</v>
      </c>
      <c r="P25" s="25" t="s">
        <v>955</v>
      </c>
      <c r="Q25" s="37"/>
      <c r="R25" s="25" t="s">
        <v>957</v>
      </c>
      <c r="S25" s="37"/>
      <c r="T25" s="34" t="s">
        <v>960</v>
      </c>
      <c r="U25" s="34" t="s">
        <v>968</v>
      </c>
      <c r="V25" s="35" t="s">
        <v>970</v>
      </c>
      <c r="W25" s="37"/>
      <c r="X25" s="36" t="s">
        <v>971</v>
      </c>
    </row>
    <row r="26" ht="87.0" customHeight="1">
      <c r="A26" s="18"/>
      <c r="B26" s="25" t="s">
        <v>463</v>
      </c>
      <c r="C26" s="25" t="s">
        <v>902</v>
      </c>
      <c r="D26" s="25" t="s">
        <v>975</v>
      </c>
      <c r="E26" s="25" t="s">
        <v>977</v>
      </c>
      <c r="F26" s="18"/>
      <c r="G26" s="18"/>
      <c r="H26" s="25" t="s">
        <v>23</v>
      </c>
      <c r="I26" s="31" t="s">
        <v>981</v>
      </c>
      <c r="J26" s="31" t="s">
        <v>983</v>
      </c>
      <c r="K26" s="31" t="s">
        <v>986</v>
      </c>
      <c r="L26" s="31" t="s">
        <v>989</v>
      </c>
      <c r="M26" s="31" t="s">
        <v>994</v>
      </c>
      <c r="N26" s="32" t="s">
        <v>996</v>
      </c>
      <c r="O26" s="25" t="s">
        <v>998</v>
      </c>
      <c r="P26" s="25" t="s">
        <v>1000</v>
      </c>
      <c r="Q26" s="18"/>
      <c r="R26" s="25" t="s">
        <v>1002</v>
      </c>
      <c r="S26" s="18"/>
      <c r="T26" s="34" t="s">
        <v>1006</v>
      </c>
      <c r="U26" s="34" t="s">
        <v>1015</v>
      </c>
      <c r="V26" s="35" t="s">
        <v>1017</v>
      </c>
      <c r="W26" s="18"/>
      <c r="X26" s="36" t="s">
        <v>1018</v>
      </c>
    </row>
    <row r="27" ht="115.5" customHeight="1">
      <c r="A27" s="27" t="s">
        <v>1020</v>
      </c>
      <c r="B27" s="25" t="s">
        <v>1030</v>
      </c>
      <c r="C27" s="25" t="s">
        <v>1032</v>
      </c>
      <c r="D27" s="25" t="s">
        <v>1034</v>
      </c>
      <c r="E27" s="25" t="s">
        <v>1037</v>
      </c>
      <c r="F27" s="29" t="s">
        <v>1038</v>
      </c>
      <c r="G27" s="29" t="s">
        <v>1041</v>
      </c>
      <c r="H27" s="25" t="s">
        <v>60</v>
      </c>
      <c r="I27" s="31" t="s">
        <v>1045</v>
      </c>
      <c r="J27" s="31" t="s">
        <v>1046</v>
      </c>
      <c r="K27" s="31" t="s">
        <v>1048</v>
      </c>
      <c r="L27" s="31" t="s">
        <v>1050</v>
      </c>
      <c r="M27" s="31" t="s">
        <v>1051</v>
      </c>
      <c r="N27" s="32" t="s">
        <v>1052</v>
      </c>
      <c r="O27" s="25" t="s">
        <v>1054</v>
      </c>
      <c r="P27" s="25" t="s">
        <v>1055</v>
      </c>
      <c r="Q27" s="29" t="s">
        <v>1057</v>
      </c>
      <c r="R27" s="25" t="s">
        <v>1062</v>
      </c>
      <c r="S27" s="29" t="s">
        <v>1065</v>
      </c>
      <c r="T27" s="34" t="s">
        <v>1067</v>
      </c>
      <c r="U27" s="34" t="s">
        <v>1069</v>
      </c>
      <c r="V27" s="35" t="s">
        <v>1070</v>
      </c>
      <c r="W27" s="29" t="s">
        <v>1072</v>
      </c>
      <c r="X27" s="36" t="s">
        <v>1074</v>
      </c>
    </row>
    <row r="28" ht="64.5" customHeight="1">
      <c r="A28" s="37"/>
      <c r="B28" s="25" t="s">
        <v>1030</v>
      </c>
      <c r="C28" s="25" t="s">
        <v>1032</v>
      </c>
      <c r="D28" s="25" t="s">
        <v>1077</v>
      </c>
      <c r="E28" s="25" t="s">
        <v>1078</v>
      </c>
      <c r="F28" s="37"/>
      <c r="G28" s="37"/>
      <c r="H28" s="25" t="s">
        <v>23</v>
      </c>
      <c r="I28" s="31" t="s">
        <v>1080</v>
      </c>
      <c r="J28" s="31" t="s">
        <v>1082</v>
      </c>
      <c r="K28" s="31" t="s">
        <v>1084</v>
      </c>
      <c r="L28" s="31" t="s">
        <v>1086</v>
      </c>
      <c r="M28" s="31" t="s">
        <v>1088</v>
      </c>
      <c r="N28" s="32" t="s">
        <v>1090</v>
      </c>
      <c r="O28" s="25" t="s">
        <v>1091</v>
      </c>
      <c r="P28" s="25" t="s">
        <v>1092</v>
      </c>
      <c r="Q28" s="37"/>
      <c r="R28" s="25" t="s">
        <v>1094</v>
      </c>
      <c r="S28" s="37"/>
      <c r="T28" s="34" t="s">
        <v>1097</v>
      </c>
      <c r="U28" s="34" t="s">
        <v>1099</v>
      </c>
      <c r="V28" s="35" t="s">
        <v>1100</v>
      </c>
      <c r="W28" s="37"/>
      <c r="X28" s="36" t="s">
        <v>1101</v>
      </c>
    </row>
    <row r="29" ht="75.0" customHeight="1">
      <c r="A29" s="37"/>
      <c r="B29" s="25" t="s">
        <v>1030</v>
      </c>
      <c r="C29" s="25" t="s">
        <v>1032</v>
      </c>
      <c r="D29" s="25" t="s">
        <v>1104</v>
      </c>
      <c r="E29" s="25" t="s">
        <v>1105</v>
      </c>
      <c r="F29" s="37"/>
      <c r="G29" s="37"/>
      <c r="H29" s="25" t="s">
        <v>23</v>
      </c>
      <c r="I29" s="31" t="s">
        <v>1107</v>
      </c>
      <c r="J29" s="31" t="s">
        <v>1108</v>
      </c>
      <c r="K29" s="31" t="s">
        <v>1109</v>
      </c>
      <c r="L29" s="31" t="s">
        <v>1110</v>
      </c>
      <c r="M29" s="31" t="s">
        <v>1111</v>
      </c>
      <c r="N29" s="32" t="s">
        <v>1112</v>
      </c>
      <c r="O29" s="25" t="s">
        <v>1113</v>
      </c>
      <c r="P29" s="25" t="s">
        <v>1115</v>
      </c>
      <c r="Q29" s="37"/>
      <c r="R29" s="25" t="s">
        <v>1117</v>
      </c>
      <c r="S29" s="37"/>
      <c r="T29" s="34" t="s">
        <v>1120</v>
      </c>
      <c r="U29" s="34" t="s">
        <v>1121</v>
      </c>
      <c r="V29" s="35" t="s">
        <v>1123</v>
      </c>
      <c r="W29" s="37"/>
      <c r="X29" s="36" t="s">
        <v>1124</v>
      </c>
    </row>
    <row r="30" ht="88.5" customHeight="1">
      <c r="A30" s="37"/>
      <c r="B30" s="25" t="s">
        <v>1030</v>
      </c>
      <c r="C30" s="25" t="s">
        <v>1125</v>
      </c>
      <c r="D30" s="25" t="s">
        <v>1126</v>
      </c>
      <c r="E30" s="25" t="s">
        <v>1127</v>
      </c>
      <c r="F30" s="37"/>
      <c r="G30" s="37"/>
      <c r="H30" s="25" t="s">
        <v>23</v>
      </c>
      <c r="I30" s="31" t="s">
        <v>1129</v>
      </c>
      <c r="J30" s="31" t="s">
        <v>1132</v>
      </c>
      <c r="K30" s="31" t="s">
        <v>1134</v>
      </c>
      <c r="L30" s="31" t="s">
        <v>1136</v>
      </c>
      <c r="M30" s="31" t="s">
        <v>1138</v>
      </c>
      <c r="N30" s="32" t="s">
        <v>1140</v>
      </c>
      <c r="O30" s="25" t="s">
        <v>1142</v>
      </c>
      <c r="P30" s="25" t="s">
        <v>1143</v>
      </c>
      <c r="Q30" s="37"/>
      <c r="R30" s="25" t="s">
        <v>1145</v>
      </c>
      <c r="S30" s="37"/>
      <c r="T30" s="34" t="s">
        <v>1146</v>
      </c>
      <c r="U30" s="34" t="s">
        <v>1149</v>
      </c>
      <c r="V30" s="35" t="s">
        <v>1150</v>
      </c>
      <c r="W30" s="37"/>
      <c r="X30" s="36" t="s">
        <v>1151</v>
      </c>
    </row>
    <row r="31" ht="91.5" customHeight="1">
      <c r="A31" s="37"/>
      <c r="B31" s="25" t="s">
        <v>1030</v>
      </c>
      <c r="C31" s="25" t="s">
        <v>1125</v>
      </c>
      <c r="D31" s="25" t="s">
        <v>1152</v>
      </c>
      <c r="E31" s="25" t="s">
        <v>1153</v>
      </c>
      <c r="F31" s="37"/>
      <c r="G31" s="37"/>
      <c r="H31" s="25" t="s">
        <v>60</v>
      </c>
      <c r="I31" s="31" t="s">
        <v>1155</v>
      </c>
      <c r="J31" s="31" t="s">
        <v>1156</v>
      </c>
      <c r="K31" s="31" t="s">
        <v>1157</v>
      </c>
      <c r="L31" s="31" t="s">
        <v>1158</v>
      </c>
      <c r="M31" s="31" t="s">
        <v>1159</v>
      </c>
      <c r="N31" s="32" t="s">
        <v>1160</v>
      </c>
      <c r="O31" s="25" t="s">
        <v>1161</v>
      </c>
      <c r="P31" s="25" t="s">
        <v>1163</v>
      </c>
      <c r="Q31" s="37"/>
      <c r="R31" s="25" t="s">
        <v>1164</v>
      </c>
      <c r="S31" s="37"/>
      <c r="T31" s="34" t="s">
        <v>1166</v>
      </c>
      <c r="U31" s="34" t="s">
        <v>1168</v>
      </c>
      <c r="V31" s="35" t="s">
        <v>1169</v>
      </c>
      <c r="W31" s="37"/>
      <c r="X31" s="36" t="s">
        <v>1170</v>
      </c>
    </row>
    <row r="32" ht="81.0" customHeight="1">
      <c r="A32" s="37"/>
      <c r="B32" s="25" t="s">
        <v>1030</v>
      </c>
      <c r="C32" s="25" t="s">
        <v>1125</v>
      </c>
      <c r="D32" s="25" t="s">
        <v>1171</v>
      </c>
      <c r="E32" s="25" t="s">
        <v>1172</v>
      </c>
      <c r="F32" s="37"/>
      <c r="G32" s="37"/>
      <c r="H32" s="25" t="s">
        <v>23</v>
      </c>
      <c r="I32" s="31" t="s">
        <v>1174</v>
      </c>
      <c r="J32" s="31" t="s">
        <v>1175</v>
      </c>
      <c r="K32" s="31" t="s">
        <v>1176</v>
      </c>
      <c r="L32" s="31" t="s">
        <v>1178</v>
      </c>
      <c r="M32" s="31" t="s">
        <v>1180</v>
      </c>
      <c r="N32" s="32" t="s">
        <v>1181</v>
      </c>
      <c r="O32" s="25" t="s">
        <v>1182</v>
      </c>
      <c r="P32" s="25" t="s">
        <v>1184</v>
      </c>
      <c r="Q32" s="37"/>
      <c r="R32" s="25" t="s">
        <v>1186</v>
      </c>
      <c r="S32" s="37"/>
      <c r="T32" s="34" t="s">
        <v>1190</v>
      </c>
      <c r="U32" s="34" t="s">
        <v>1195</v>
      </c>
      <c r="V32" s="35" t="s">
        <v>1197</v>
      </c>
      <c r="W32" s="37"/>
      <c r="X32" s="36" t="s">
        <v>1198</v>
      </c>
    </row>
    <row r="33" ht="102.0" customHeight="1">
      <c r="A33" s="37"/>
      <c r="B33" s="25" t="s">
        <v>1030</v>
      </c>
      <c r="C33" s="25" t="s">
        <v>1199</v>
      </c>
      <c r="D33" s="25" t="s">
        <v>1200</v>
      </c>
      <c r="E33" s="25" t="s">
        <v>1201</v>
      </c>
      <c r="F33" s="37"/>
      <c r="G33" s="37"/>
      <c r="H33" s="25" t="s">
        <v>23</v>
      </c>
      <c r="I33" s="31" t="s">
        <v>1204</v>
      </c>
      <c r="J33" s="31" t="s">
        <v>1205</v>
      </c>
      <c r="K33" s="31" t="s">
        <v>1207</v>
      </c>
      <c r="L33" s="31" t="s">
        <v>1208</v>
      </c>
      <c r="M33" s="31" t="s">
        <v>1209</v>
      </c>
      <c r="N33" s="32" t="s">
        <v>1212</v>
      </c>
      <c r="O33" s="25" t="s">
        <v>1214</v>
      </c>
      <c r="P33" s="25" t="s">
        <v>1215</v>
      </c>
      <c r="Q33" s="37"/>
      <c r="R33" s="25" t="s">
        <v>1216</v>
      </c>
      <c r="S33" s="37"/>
      <c r="T33" s="34" t="s">
        <v>1220</v>
      </c>
      <c r="U33" s="34" t="s">
        <v>1227</v>
      </c>
      <c r="V33" s="35" t="s">
        <v>1228</v>
      </c>
      <c r="W33" s="37"/>
      <c r="X33" s="36" t="s">
        <v>1229</v>
      </c>
    </row>
    <row r="34" ht="93.0" customHeight="1">
      <c r="A34" s="37"/>
      <c r="B34" s="25" t="s">
        <v>1030</v>
      </c>
      <c r="C34" s="25" t="s">
        <v>1199</v>
      </c>
      <c r="D34" s="25" t="s">
        <v>1231</v>
      </c>
      <c r="E34" s="25" t="s">
        <v>1232</v>
      </c>
      <c r="F34" s="37"/>
      <c r="G34" s="37"/>
      <c r="H34" s="25" t="s">
        <v>23</v>
      </c>
      <c r="I34" s="31" t="s">
        <v>1233</v>
      </c>
      <c r="J34" s="31" t="s">
        <v>1234</v>
      </c>
      <c r="K34" s="31" t="s">
        <v>1236</v>
      </c>
      <c r="L34" s="31" t="s">
        <v>1238</v>
      </c>
      <c r="M34" s="31" t="s">
        <v>1239</v>
      </c>
      <c r="N34" s="32" t="s">
        <v>1241</v>
      </c>
      <c r="O34" s="25" t="s">
        <v>1242</v>
      </c>
      <c r="P34" s="25" t="s">
        <v>1243</v>
      </c>
      <c r="Q34" s="37"/>
      <c r="R34" s="25" t="s">
        <v>1244</v>
      </c>
      <c r="S34" s="37"/>
      <c r="T34" s="34" t="s">
        <v>1247</v>
      </c>
      <c r="U34" s="34" t="s">
        <v>1252</v>
      </c>
      <c r="V34" s="35" t="s">
        <v>1254</v>
      </c>
      <c r="W34" s="37"/>
      <c r="X34" s="36" t="s">
        <v>1261</v>
      </c>
    </row>
    <row r="35" ht="90.0" customHeight="1">
      <c r="A35" s="37"/>
      <c r="B35" s="25" t="s">
        <v>1030</v>
      </c>
      <c r="C35" s="25" t="s">
        <v>1199</v>
      </c>
      <c r="D35" s="25" t="s">
        <v>1264</v>
      </c>
      <c r="E35" s="25" t="s">
        <v>1266</v>
      </c>
      <c r="F35" s="37"/>
      <c r="G35" s="37"/>
      <c r="H35" s="25" t="s">
        <v>91</v>
      </c>
      <c r="I35" s="31" t="s">
        <v>1269</v>
      </c>
      <c r="J35" s="31" t="s">
        <v>1276</v>
      </c>
      <c r="K35" s="31" t="s">
        <v>1278</v>
      </c>
      <c r="L35" s="31" t="s">
        <v>1281</v>
      </c>
      <c r="M35" s="31" t="s">
        <v>1283</v>
      </c>
      <c r="N35" s="32" t="s">
        <v>1284</v>
      </c>
      <c r="O35" s="25" t="s">
        <v>1286</v>
      </c>
      <c r="P35" s="25" t="s">
        <v>1291</v>
      </c>
      <c r="Q35" s="37"/>
      <c r="R35" s="25" t="s">
        <v>1293</v>
      </c>
      <c r="S35" s="37"/>
      <c r="T35" s="34" t="s">
        <v>1298</v>
      </c>
      <c r="U35" s="34" t="s">
        <v>1306</v>
      </c>
      <c r="V35" s="35" t="s">
        <v>1308</v>
      </c>
      <c r="W35" s="37"/>
      <c r="X35" s="36" t="s">
        <v>1309</v>
      </c>
    </row>
    <row r="36" ht="91.5" customHeight="1">
      <c r="A36" s="37"/>
      <c r="B36" s="25" t="s">
        <v>1030</v>
      </c>
      <c r="C36" s="25" t="s">
        <v>1313</v>
      </c>
      <c r="D36" s="25" t="s">
        <v>1314</v>
      </c>
      <c r="E36" s="25" t="s">
        <v>1316</v>
      </c>
      <c r="F36" s="37"/>
      <c r="G36" s="37"/>
      <c r="H36" s="25" t="s">
        <v>23</v>
      </c>
      <c r="I36" s="31" t="s">
        <v>1319</v>
      </c>
      <c r="J36" s="31" t="s">
        <v>1321</v>
      </c>
      <c r="K36" s="31" t="s">
        <v>1323</v>
      </c>
      <c r="L36" s="31" t="s">
        <v>1325</v>
      </c>
      <c r="M36" s="31" t="s">
        <v>1328</v>
      </c>
      <c r="N36" s="32" t="s">
        <v>1329</v>
      </c>
      <c r="O36" s="25" t="s">
        <v>1330</v>
      </c>
      <c r="P36" s="25" t="s">
        <v>1333</v>
      </c>
      <c r="Q36" s="37"/>
      <c r="R36" s="25" t="s">
        <v>1336</v>
      </c>
      <c r="S36" s="37"/>
      <c r="T36" s="34" t="s">
        <v>1338</v>
      </c>
      <c r="U36" s="34" t="s">
        <v>1344</v>
      </c>
      <c r="V36" s="35" t="s">
        <v>1347</v>
      </c>
      <c r="W36" s="37"/>
      <c r="X36" s="36" t="s">
        <v>1350</v>
      </c>
    </row>
    <row r="37" ht="72.0" customHeight="1">
      <c r="A37" s="37"/>
      <c r="B37" s="25" t="s">
        <v>1030</v>
      </c>
      <c r="C37" s="25" t="s">
        <v>1313</v>
      </c>
      <c r="D37" s="25" t="s">
        <v>1357</v>
      </c>
      <c r="E37" s="25" t="s">
        <v>1359</v>
      </c>
      <c r="F37" s="37"/>
      <c r="G37" s="37"/>
      <c r="H37" s="25" t="s">
        <v>91</v>
      </c>
      <c r="I37" s="31" t="s">
        <v>1364</v>
      </c>
      <c r="J37" s="31" t="s">
        <v>1366</v>
      </c>
      <c r="K37" s="31" t="s">
        <v>1369</v>
      </c>
      <c r="L37" s="31" t="s">
        <v>1372</v>
      </c>
      <c r="M37" s="31" t="s">
        <v>1373</v>
      </c>
      <c r="N37" s="32" t="s">
        <v>1374</v>
      </c>
      <c r="O37" s="25" t="s">
        <v>1376</v>
      </c>
      <c r="P37" s="25" t="s">
        <v>1377</v>
      </c>
      <c r="Q37" s="37"/>
      <c r="R37" s="25" t="s">
        <v>1378</v>
      </c>
      <c r="S37" s="37"/>
      <c r="T37" s="34" t="s">
        <v>1380</v>
      </c>
      <c r="U37" s="34" t="s">
        <v>1384</v>
      </c>
      <c r="V37" s="35" t="s">
        <v>1385</v>
      </c>
      <c r="W37" s="37"/>
      <c r="X37" s="36" t="s">
        <v>1387</v>
      </c>
    </row>
    <row r="38" ht="76.5" customHeight="1">
      <c r="A38" s="18"/>
      <c r="B38" s="25" t="s">
        <v>1030</v>
      </c>
      <c r="C38" s="25" t="s">
        <v>1313</v>
      </c>
      <c r="D38" s="25" t="s">
        <v>1389</v>
      </c>
      <c r="E38" s="25" t="s">
        <v>1390</v>
      </c>
      <c r="F38" s="18"/>
      <c r="G38" s="18"/>
      <c r="H38" s="25" t="s">
        <v>91</v>
      </c>
      <c r="I38" s="31" t="s">
        <v>1394</v>
      </c>
      <c r="J38" s="31" t="s">
        <v>1395</v>
      </c>
      <c r="K38" s="31" t="s">
        <v>1397</v>
      </c>
      <c r="L38" s="31" t="s">
        <v>1399</v>
      </c>
      <c r="M38" s="31" t="s">
        <v>1400</v>
      </c>
      <c r="N38" s="32" t="s">
        <v>1402</v>
      </c>
      <c r="O38" s="25" t="s">
        <v>1404</v>
      </c>
      <c r="P38" s="25" t="s">
        <v>1405</v>
      </c>
      <c r="Q38" s="18"/>
      <c r="R38" s="25" t="s">
        <v>1410</v>
      </c>
      <c r="S38" s="18"/>
      <c r="T38" s="34" t="s">
        <v>1413</v>
      </c>
      <c r="U38" s="34" t="s">
        <v>1418</v>
      </c>
      <c r="V38" s="35" t="s">
        <v>1419</v>
      </c>
      <c r="W38" s="18"/>
      <c r="X38" s="36" t="s">
        <v>1420</v>
      </c>
    </row>
    <row r="39" ht="72.0" customHeight="1">
      <c r="A39" s="50" t="s">
        <v>1422</v>
      </c>
      <c r="B39" s="26" t="s">
        <v>1429</v>
      </c>
      <c r="C39" s="26" t="s">
        <v>1431</v>
      </c>
      <c r="D39" s="26" t="s">
        <v>1434</v>
      </c>
      <c r="E39" s="26" t="s">
        <v>1436</v>
      </c>
      <c r="F39" s="28" t="s">
        <v>1439</v>
      </c>
      <c r="G39" s="28" t="s">
        <v>1444</v>
      </c>
      <c r="H39" s="25" t="s">
        <v>23</v>
      </c>
      <c r="I39" s="31" t="s">
        <v>1447</v>
      </c>
      <c r="J39" s="31" t="s">
        <v>1448</v>
      </c>
      <c r="K39" s="31" t="s">
        <v>1449</v>
      </c>
      <c r="L39" s="31" t="s">
        <v>1450</v>
      </c>
      <c r="M39" s="31" t="s">
        <v>1451</v>
      </c>
      <c r="N39" s="32" t="s">
        <v>1453</v>
      </c>
      <c r="O39" s="25" t="s">
        <v>1454</v>
      </c>
      <c r="P39" s="25" t="s">
        <v>1455</v>
      </c>
      <c r="Q39" s="28" t="s">
        <v>1456</v>
      </c>
      <c r="R39" s="26" t="s">
        <v>1459</v>
      </c>
      <c r="S39" s="28" t="s">
        <v>1462</v>
      </c>
      <c r="T39" s="34" t="s">
        <v>1467</v>
      </c>
      <c r="U39" s="34" t="s">
        <v>1468</v>
      </c>
      <c r="V39" s="35" t="s">
        <v>1470</v>
      </c>
      <c r="W39" s="28" t="s">
        <v>1473</v>
      </c>
      <c r="X39" s="26" t="s">
        <v>70</v>
      </c>
    </row>
    <row r="40" ht="69.0" customHeight="1">
      <c r="A40" s="37"/>
      <c r="B40" s="26" t="s">
        <v>1429</v>
      </c>
      <c r="C40" s="26" t="s">
        <v>1431</v>
      </c>
      <c r="D40" s="26" t="s">
        <v>1481</v>
      </c>
      <c r="E40" s="26" t="s">
        <v>1483</v>
      </c>
      <c r="F40" s="37"/>
      <c r="G40" s="37"/>
      <c r="H40" s="25" t="s">
        <v>23</v>
      </c>
      <c r="I40" s="31" t="s">
        <v>1485</v>
      </c>
      <c r="J40" s="31" t="s">
        <v>1487</v>
      </c>
      <c r="K40" s="31" t="s">
        <v>1489</v>
      </c>
      <c r="L40" s="31" t="s">
        <v>1490</v>
      </c>
      <c r="M40" s="31" t="s">
        <v>1492</v>
      </c>
      <c r="N40" s="32" t="s">
        <v>1494</v>
      </c>
      <c r="O40" s="25" t="s">
        <v>1495</v>
      </c>
      <c r="P40" s="25" t="s">
        <v>1496</v>
      </c>
      <c r="Q40" s="37"/>
      <c r="R40" s="26" t="s">
        <v>1497</v>
      </c>
      <c r="S40" s="37"/>
      <c r="T40" s="34" t="s">
        <v>1498</v>
      </c>
      <c r="U40" s="34" t="s">
        <v>1505</v>
      </c>
      <c r="V40" s="35" t="s">
        <v>1508</v>
      </c>
      <c r="W40" s="37"/>
      <c r="X40" s="26" t="s">
        <v>70</v>
      </c>
    </row>
    <row r="41" ht="84.0" customHeight="1">
      <c r="A41" s="37"/>
      <c r="B41" s="26" t="s">
        <v>1429</v>
      </c>
      <c r="C41" s="26" t="s">
        <v>1515</v>
      </c>
      <c r="D41" s="26" t="s">
        <v>1518</v>
      </c>
      <c r="E41" s="26" t="s">
        <v>1520</v>
      </c>
      <c r="F41" s="37"/>
      <c r="G41" s="37"/>
      <c r="H41" s="25" t="s">
        <v>23</v>
      </c>
      <c r="I41" s="31" t="s">
        <v>1524</v>
      </c>
      <c r="J41" s="31" t="s">
        <v>1525</v>
      </c>
      <c r="K41" s="31" t="s">
        <v>1526</v>
      </c>
      <c r="L41" s="31" t="s">
        <v>1527</v>
      </c>
      <c r="M41" s="31" t="s">
        <v>1528</v>
      </c>
      <c r="N41" s="32" t="s">
        <v>1531</v>
      </c>
      <c r="O41" s="25" t="s">
        <v>1534</v>
      </c>
      <c r="P41" s="25" t="s">
        <v>1539</v>
      </c>
      <c r="Q41" s="37"/>
      <c r="R41" s="26" t="s">
        <v>1541</v>
      </c>
      <c r="S41" s="37"/>
      <c r="T41" s="34" t="s">
        <v>1543</v>
      </c>
      <c r="U41" s="34" t="s">
        <v>1544</v>
      </c>
      <c r="V41" s="35" t="s">
        <v>1545</v>
      </c>
      <c r="W41" s="37"/>
      <c r="X41" s="26" t="s">
        <v>70</v>
      </c>
    </row>
    <row r="42" ht="64.5" customHeight="1">
      <c r="A42" s="37"/>
      <c r="B42" s="26" t="s">
        <v>1429</v>
      </c>
      <c r="C42" s="26" t="s">
        <v>1547</v>
      </c>
      <c r="D42" s="26" t="s">
        <v>1548</v>
      </c>
      <c r="E42" s="26" t="s">
        <v>1549</v>
      </c>
      <c r="F42" s="37"/>
      <c r="G42" s="37"/>
      <c r="H42" s="25" t="s">
        <v>60</v>
      </c>
      <c r="I42" s="31" t="s">
        <v>1550</v>
      </c>
      <c r="J42" s="31" t="s">
        <v>1551</v>
      </c>
      <c r="K42" s="31" t="s">
        <v>1552</v>
      </c>
      <c r="L42" s="31" t="s">
        <v>1554</v>
      </c>
      <c r="M42" s="31" t="s">
        <v>1555</v>
      </c>
      <c r="N42" s="32" t="s">
        <v>1557</v>
      </c>
      <c r="O42" s="25" t="s">
        <v>1558</v>
      </c>
      <c r="P42" s="25" t="s">
        <v>1560</v>
      </c>
      <c r="Q42" s="37"/>
      <c r="R42" s="26" t="s">
        <v>1561</v>
      </c>
      <c r="S42" s="37"/>
      <c r="T42" s="34" t="s">
        <v>1562</v>
      </c>
      <c r="U42" s="34" t="s">
        <v>1567</v>
      </c>
      <c r="V42" s="35" t="s">
        <v>1568</v>
      </c>
      <c r="W42" s="37"/>
      <c r="X42" s="26" t="s">
        <v>70</v>
      </c>
    </row>
    <row r="43" ht="64.5" customHeight="1">
      <c r="A43" s="37"/>
      <c r="B43" s="26" t="s">
        <v>1429</v>
      </c>
      <c r="C43" s="26" t="s">
        <v>1575</v>
      </c>
      <c r="D43" s="26" t="s">
        <v>1578</v>
      </c>
      <c r="E43" s="26" t="s">
        <v>1580</v>
      </c>
      <c r="F43" s="37"/>
      <c r="G43" s="37"/>
      <c r="H43" s="25" t="s">
        <v>60</v>
      </c>
      <c r="I43" s="31" t="s">
        <v>1582</v>
      </c>
      <c r="J43" s="31" t="s">
        <v>1584</v>
      </c>
      <c r="K43" s="31" t="s">
        <v>1585</v>
      </c>
      <c r="L43" s="31" t="s">
        <v>1587</v>
      </c>
      <c r="M43" s="31" t="s">
        <v>1588</v>
      </c>
      <c r="N43" s="32" t="s">
        <v>1589</v>
      </c>
      <c r="O43" s="25" t="s">
        <v>1590</v>
      </c>
      <c r="P43" s="25" t="s">
        <v>1591</v>
      </c>
      <c r="Q43" s="37"/>
      <c r="R43" s="26" t="s">
        <v>1592</v>
      </c>
      <c r="S43" s="37"/>
      <c r="T43" s="34" t="s">
        <v>1595</v>
      </c>
      <c r="U43" s="34" t="s">
        <v>1599</v>
      </c>
      <c r="V43" s="35" t="s">
        <v>1601</v>
      </c>
      <c r="W43" s="37"/>
      <c r="X43" s="26" t="s">
        <v>70</v>
      </c>
    </row>
    <row r="44" ht="72.0" customHeight="1">
      <c r="A44" s="18"/>
      <c r="B44" s="26" t="s">
        <v>1429</v>
      </c>
      <c r="C44" s="26" t="s">
        <v>1606</v>
      </c>
      <c r="D44" s="26" t="s">
        <v>1608</v>
      </c>
      <c r="E44" s="26" t="s">
        <v>1610</v>
      </c>
      <c r="F44" s="18"/>
      <c r="G44" s="18"/>
      <c r="H44" s="25" t="s">
        <v>23</v>
      </c>
      <c r="I44" s="31" t="s">
        <v>1613</v>
      </c>
      <c r="J44" s="31" t="s">
        <v>1615</v>
      </c>
      <c r="K44" s="31" t="s">
        <v>1616</v>
      </c>
      <c r="L44" s="31" t="s">
        <v>1617</v>
      </c>
      <c r="M44" s="31" t="s">
        <v>1618</v>
      </c>
      <c r="N44" s="32" t="s">
        <v>1619</v>
      </c>
      <c r="O44" s="25" t="s">
        <v>1620</v>
      </c>
      <c r="P44" s="25" t="s">
        <v>1622</v>
      </c>
      <c r="Q44" s="18"/>
      <c r="R44" s="26" t="s">
        <v>1624</v>
      </c>
      <c r="S44" s="18"/>
      <c r="T44" s="34" t="s">
        <v>1626</v>
      </c>
      <c r="U44" s="34" t="s">
        <v>1632</v>
      </c>
      <c r="V44" s="35" t="s">
        <v>1633</v>
      </c>
      <c r="W44" s="18"/>
      <c r="X44" s="26" t="s">
        <v>70</v>
      </c>
    </row>
    <row r="45" ht="121.5" customHeight="1">
      <c r="A45" s="50" t="s">
        <v>1634</v>
      </c>
      <c r="B45" s="26" t="s">
        <v>1635</v>
      </c>
      <c r="C45" s="26" t="s">
        <v>1636</v>
      </c>
      <c r="D45" s="26" t="s">
        <v>1637</v>
      </c>
      <c r="E45" s="26" t="s">
        <v>1638</v>
      </c>
      <c r="F45" s="28" t="s">
        <v>1639</v>
      </c>
      <c r="G45" s="28" t="s">
        <v>1643</v>
      </c>
      <c r="H45" s="25" t="s">
        <v>91</v>
      </c>
      <c r="I45" s="31" t="s">
        <v>1647</v>
      </c>
      <c r="J45" s="31" t="s">
        <v>1649</v>
      </c>
      <c r="K45" s="31" t="s">
        <v>1651</v>
      </c>
      <c r="L45" s="31" t="s">
        <v>1653</v>
      </c>
      <c r="M45" s="31" t="s">
        <v>1654</v>
      </c>
      <c r="N45" s="32" t="s">
        <v>1655</v>
      </c>
      <c r="O45" s="25" t="s">
        <v>1656</v>
      </c>
      <c r="P45" s="25" t="s">
        <v>1657</v>
      </c>
      <c r="Q45" s="28" t="s">
        <v>1658</v>
      </c>
      <c r="R45" s="26" t="s">
        <v>1660</v>
      </c>
      <c r="S45" s="28" t="s">
        <v>1663</v>
      </c>
      <c r="T45" s="34" t="s">
        <v>1670</v>
      </c>
      <c r="U45" s="34" t="s">
        <v>1676</v>
      </c>
      <c r="V45" s="35" t="s">
        <v>1679</v>
      </c>
      <c r="W45" s="28" t="s">
        <v>1688</v>
      </c>
      <c r="X45" s="26" t="s">
        <v>70</v>
      </c>
    </row>
    <row r="46" ht="78.0" customHeight="1">
      <c r="A46" s="37"/>
      <c r="B46" s="26" t="s">
        <v>1635</v>
      </c>
      <c r="C46" s="26" t="s">
        <v>1636</v>
      </c>
      <c r="D46" s="26" t="s">
        <v>1692</v>
      </c>
      <c r="E46" s="26" t="s">
        <v>1694</v>
      </c>
      <c r="F46" s="37"/>
      <c r="G46" s="37"/>
      <c r="H46" s="25" t="s">
        <v>23</v>
      </c>
      <c r="I46" s="31" t="s">
        <v>1697</v>
      </c>
      <c r="J46" s="31" t="s">
        <v>1699</v>
      </c>
      <c r="K46" s="31" t="s">
        <v>1701</v>
      </c>
      <c r="L46" s="31" t="s">
        <v>1702</v>
      </c>
      <c r="M46" s="31" t="s">
        <v>1705</v>
      </c>
      <c r="N46" s="32" t="s">
        <v>1707</v>
      </c>
      <c r="O46" s="25" t="s">
        <v>1710</v>
      </c>
      <c r="P46" s="25" t="s">
        <v>1713</v>
      </c>
      <c r="Q46" s="37"/>
      <c r="R46" s="26" t="s">
        <v>1717</v>
      </c>
      <c r="S46" s="37"/>
      <c r="T46" s="34" t="s">
        <v>1722</v>
      </c>
      <c r="U46" s="34" t="s">
        <v>1724</v>
      </c>
      <c r="V46" s="35" t="s">
        <v>1725</v>
      </c>
      <c r="W46" s="37"/>
      <c r="X46" s="26" t="s">
        <v>70</v>
      </c>
    </row>
    <row r="47" ht="52.5" customHeight="1">
      <c r="A47" s="37"/>
      <c r="B47" s="26" t="s">
        <v>1635</v>
      </c>
      <c r="C47" s="26" t="s">
        <v>1729</v>
      </c>
      <c r="D47" s="26" t="s">
        <v>1731</v>
      </c>
      <c r="E47" s="52" t="s">
        <v>1737</v>
      </c>
      <c r="F47" s="37"/>
      <c r="G47" s="37"/>
      <c r="H47" s="25" t="s">
        <v>23</v>
      </c>
      <c r="I47" s="31" t="s">
        <v>1743</v>
      </c>
      <c r="J47" s="31" t="s">
        <v>1746</v>
      </c>
      <c r="K47" s="31" t="s">
        <v>1749</v>
      </c>
      <c r="L47" s="31" t="s">
        <v>1751</v>
      </c>
      <c r="M47" s="31" t="s">
        <v>1754</v>
      </c>
      <c r="N47" s="32" t="s">
        <v>1757</v>
      </c>
      <c r="O47" s="25" t="s">
        <v>1760</v>
      </c>
      <c r="P47" s="25" t="s">
        <v>1761</v>
      </c>
      <c r="Q47" s="37"/>
      <c r="R47" s="26" t="s">
        <v>1763</v>
      </c>
      <c r="S47" s="37"/>
      <c r="T47" s="34" t="s">
        <v>1764</v>
      </c>
      <c r="U47" s="34" t="s">
        <v>1769</v>
      </c>
      <c r="V47" s="35" t="s">
        <v>1772</v>
      </c>
      <c r="W47" s="37"/>
      <c r="X47" s="26" t="s">
        <v>70</v>
      </c>
    </row>
    <row r="48" ht="58.5" customHeight="1">
      <c r="A48" s="18"/>
      <c r="B48" s="26" t="s">
        <v>1635</v>
      </c>
      <c r="C48" s="26" t="s">
        <v>1729</v>
      </c>
      <c r="D48" s="26" t="s">
        <v>1774</v>
      </c>
      <c r="E48" s="52" t="s">
        <v>1775</v>
      </c>
      <c r="F48" s="18"/>
      <c r="G48" s="18"/>
      <c r="H48" s="25" t="s">
        <v>60</v>
      </c>
      <c r="I48" s="31" t="s">
        <v>1777</v>
      </c>
      <c r="J48" s="31" t="s">
        <v>1780</v>
      </c>
      <c r="K48" s="31" t="s">
        <v>1782</v>
      </c>
      <c r="L48" s="31" t="s">
        <v>1784</v>
      </c>
      <c r="M48" s="31" t="s">
        <v>1785</v>
      </c>
      <c r="N48" s="32" t="s">
        <v>1787</v>
      </c>
      <c r="O48" s="25" t="s">
        <v>1788</v>
      </c>
      <c r="P48" s="25" t="s">
        <v>1789</v>
      </c>
      <c r="Q48" s="18"/>
      <c r="R48" s="26" t="s">
        <v>1792</v>
      </c>
      <c r="S48" s="18"/>
      <c r="T48" s="34" t="s">
        <v>1794</v>
      </c>
      <c r="U48" s="34" t="s">
        <v>1796</v>
      </c>
      <c r="V48" s="35" t="s">
        <v>1798</v>
      </c>
      <c r="W48" s="18"/>
      <c r="X48" s="26" t="s">
        <v>70</v>
      </c>
    </row>
    <row r="49" ht="93.0" customHeight="1">
      <c r="A49" s="50"/>
      <c r="B49" s="26" t="s">
        <v>1809</v>
      </c>
      <c r="C49" s="26" t="s">
        <v>1811</v>
      </c>
      <c r="D49" s="26" t="s">
        <v>1812</v>
      </c>
      <c r="E49" s="26" t="s">
        <v>1813</v>
      </c>
      <c r="F49" s="28"/>
      <c r="G49" s="28"/>
      <c r="H49" s="25" t="s">
        <v>60</v>
      </c>
      <c r="I49" s="31" t="s">
        <v>1816</v>
      </c>
      <c r="J49" s="31" t="s">
        <v>1817</v>
      </c>
      <c r="K49" s="31" t="s">
        <v>1818</v>
      </c>
      <c r="L49" s="31" t="s">
        <v>1820</v>
      </c>
      <c r="M49" s="31" t="s">
        <v>1821</v>
      </c>
      <c r="N49" s="32" t="s">
        <v>1823</v>
      </c>
      <c r="O49" s="25" t="s">
        <v>1824</v>
      </c>
      <c r="P49" s="25" t="s">
        <v>1827</v>
      </c>
      <c r="Q49" s="28"/>
      <c r="R49" s="26" t="s">
        <v>1828</v>
      </c>
      <c r="S49" s="28"/>
      <c r="T49" s="34" t="s">
        <v>1831</v>
      </c>
      <c r="U49" s="34" t="s">
        <v>1839</v>
      </c>
      <c r="V49" s="35" t="s">
        <v>1840</v>
      </c>
      <c r="W49" s="28"/>
      <c r="X49" s="26" t="s">
        <v>70</v>
      </c>
    </row>
    <row r="50" ht="72.0" customHeight="1">
      <c r="A50" s="37"/>
      <c r="B50" s="26" t="s">
        <v>1809</v>
      </c>
      <c r="C50" s="26" t="s">
        <v>1811</v>
      </c>
      <c r="D50" s="26" t="s">
        <v>1844</v>
      </c>
      <c r="E50" s="26" t="s">
        <v>1846</v>
      </c>
      <c r="F50" s="37"/>
      <c r="G50" s="37"/>
      <c r="H50" s="25" t="s">
        <v>23</v>
      </c>
      <c r="I50" s="31" t="s">
        <v>1850</v>
      </c>
      <c r="J50" s="31" t="s">
        <v>1852</v>
      </c>
      <c r="K50" s="31" t="s">
        <v>1853</v>
      </c>
      <c r="L50" s="31" t="s">
        <v>1854</v>
      </c>
      <c r="M50" s="31" t="s">
        <v>1856</v>
      </c>
      <c r="N50" s="32" t="s">
        <v>1858</v>
      </c>
      <c r="O50" s="25" t="s">
        <v>1860</v>
      </c>
      <c r="P50" s="25" t="s">
        <v>1862</v>
      </c>
      <c r="Q50" s="37"/>
      <c r="R50" s="26" t="s">
        <v>1865</v>
      </c>
      <c r="S50" s="37"/>
      <c r="T50" s="34" t="s">
        <v>1868</v>
      </c>
      <c r="U50" s="34" t="s">
        <v>1872</v>
      </c>
      <c r="V50" s="35" t="s">
        <v>1876</v>
      </c>
      <c r="W50" s="37"/>
      <c r="X50" s="26" t="s">
        <v>70</v>
      </c>
    </row>
    <row r="51" ht="72.0" customHeight="1">
      <c r="A51" s="18"/>
      <c r="B51" s="26" t="s">
        <v>1809</v>
      </c>
      <c r="C51" s="26" t="s">
        <v>1880</v>
      </c>
      <c r="D51" s="26" t="s">
        <v>1882</v>
      </c>
      <c r="E51" s="52" t="s">
        <v>1883</v>
      </c>
      <c r="F51" s="18"/>
      <c r="G51" s="18"/>
      <c r="H51" s="25" t="s">
        <v>91</v>
      </c>
      <c r="I51" s="31" t="s">
        <v>1886</v>
      </c>
      <c r="J51" s="31" t="s">
        <v>1887</v>
      </c>
      <c r="K51" s="31" t="s">
        <v>1888</v>
      </c>
      <c r="L51" s="31" t="s">
        <v>1890</v>
      </c>
      <c r="M51" s="31" t="s">
        <v>1892</v>
      </c>
      <c r="N51" s="32" t="s">
        <v>1895</v>
      </c>
      <c r="O51" s="25" t="s">
        <v>1898</v>
      </c>
      <c r="P51" s="25" t="s">
        <v>1900</v>
      </c>
      <c r="Q51" s="18"/>
      <c r="R51" s="26" t="s">
        <v>1903</v>
      </c>
      <c r="S51" s="18"/>
      <c r="T51" s="34" t="s">
        <v>1904</v>
      </c>
      <c r="U51" s="34" t="s">
        <v>1907</v>
      </c>
      <c r="V51" s="35" t="s">
        <v>1908</v>
      </c>
      <c r="W51" s="18"/>
      <c r="X51" s="26" t="s">
        <v>70</v>
      </c>
    </row>
    <row r="52" ht="109.5" customHeight="1">
      <c r="A52" s="50" t="s">
        <v>1912</v>
      </c>
      <c r="B52" s="52" t="s">
        <v>1916</v>
      </c>
      <c r="C52" s="26" t="s">
        <v>1918</v>
      </c>
      <c r="D52" s="26" t="s">
        <v>1920</v>
      </c>
      <c r="E52" s="26" t="s">
        <v>1922</v>
      </c>
      <c r="F52" s="28" t="s">
        <v>1925</v>
      </c>
      <c r="G52" s="28" t="s">
        <v>1931</v>
      </c>
      <c r="H52" s="25" t="s">
        <v>23</v>
      </c>
      <c r="I52" s="31" t="s">
        <v>1933</v>
      </c>
      <c r="J52" s="31" t="s">
        <v>1934</v>
      </c>
      <c r="K52" s="31" t="s">
        <v>1936</v>
      </c>
      <c r="L52" s="31" t="s">
        <v>1937</v>
      </c>
      <c r="M52" s="31" t="s">
        <v>1939</v>
      </c>
      <c r="N52" s="32" t="s">
        <v>1941</v>
      </c>
      <c r="O52" s="25" t="s">
        <v>1942</v>
      </c>
      <c r="P52" s="25" t="s">
        <v>1943</v>
      </c>
      <c r="Q52" s="28" t="s">
        <v>1945</v>
      </c>
      <c r="R52" s="26" t="s">
        <v>1949</v>
      </c>
      <c r="S52" s="28" t="s">
        <v>1953</v>
      </c>
      <c r="T52" s="34" t="s">
        <v>1959</v>
      </c>
      <c r="U52" s="34" t="s">
        <v>1964</v>
      </c>
      <c r="V52" s="35" t="s">
        <v>1965</v>
      </c>
      <c r="W52" s="28" t="s">
        <v>1972</v>
      </c>
      <c r="X52" s="26" t="s">
        <v>70</v>
      </c>
    </row>
    <row r="53" ht="64.5" customHeight="1">
      <c r="A53" s="37"/>
      <c r="B53" s="52" t="s">
        <v>1916</v>
      </c>
      <c r="C53" s="26" t="s">
        <v>1979</v>
      </c>
      <c r="D53" s="26" t="s">
        <v>1980</v>
      </c>
      <c r="E53" s="26" t="s">
        <v>1982</v>
      </c>
      <c r="F53" s="37"/>
      <c r="G53" s="37"/>
      <c r="H53" s="25" t="s">
        <v>60</v>
      </c>
      <c r="I53" s="31" t="s">
        <v>1983</v>
      </c>
      <c r="J53" s="31" t="s">
        <v>1984</v>
      </c>
      <c r="K53" s="31" t="s">
        <v>1985</v>
      </c>
      <c r="L53" s="31" t="s">
        <v>1987</v>
      </c>
      <c r="M53" s="31" t="s">
        <v>1988</v>
      </c>
      <c r="N53" s="32" t="s">
        <v>1990</v>
      </c>
      <c r="O53" s="25" t="s">
        <v>1991</v>
      </c>
      <c r="P53" s="25" t="s">
        <v>1993</v>
      </c>
      <c r="Q53" s="37"/>
      <c r="R53" s="26" t="s">
        <v>1994</v>
      </c>
      <c r="S53" s="37"/>
      <c r="T53" s="34" t="s">
        <v>1997</v>
      </c>
      <c r="U53" s="34" t="s">
        <v>2001</v>
      </c>
      <c r="V53" s="35" t="s">
        <v>2004</v>
      </c>
      <c r="W53" s="37"/>
      <c r="X53" s="26" t="s">
        <v>70</v>
      </c>
    </row>
    <row r="54" ht="64.5" customHeight="1">
      <c r="A54" s="37"/>
      <c r="B54" s="52" t="s">
        <v>1916</v>
      </c>
      <c r="C54" s="26" t="s">
        <v>2009</v>
      </c>
      <c r="D54" s="26" t="s">
        <v>2011</v>
      </c>
      <c r="E54" s="26" t="s">
        <v>2013</v>
      </c>
      <c r="F54" s="37"/>
      <c r="G54" s="37"/>
      <c r="H54" s="25" t="s">
        <v>60</v>
      </c>
      <c r="I54" s="31" t="s">
        <v>2015</v>
      </c>
      <c r="J54" s="31" t="s">
        <v>2016</v>
      </c>
      <c r="K54" s="31" t="s">
        <v>2017</v>
      </c>
      <c r="L54" s="31" t="s">
        <v>2018</v>
      </c>
      <c r="M54" s="31" t="s">
        <v>2019</v>
      </c>
      <c r="N54" s="32" t="s">
        <v>2020</v>
      </c>
      <c r="O54" s="25" t="s">
        <v>2022</v>
      </c>
      <c r="P54" s="25" t="s">
        <v>2023</v>
      </c>
      <c r="Q54" s="37"/>
      <c r="R54" s="26" t="s">
        <v>2026</v>
      </c>
      <c r="S54" s="37"/>
      <c r="T54" s="34" t="s">
        <v>2028</v>
      </c>
      <c r="U54" s="34" t="s">
        <v>2033</v>
      </c>
      <c r="V54" s="35" t="s">
        <v>2035</v>
      </c>
      <c r="W54" s="37"/>
      <c r="X54" s="26" t="s">
        <v>70</v>
      </c>
    </row>
    <row r="55" ht="60.0" customHeight="1">
      <c r="A55" s="37"/>
      <c r="B55" s="52" t="s">
        <v>1916</v>
      </c>
      <c r="C55" s="26" t="s">
        <v>2040</v>
      </c>
      <c r="D55" s="26" t="s">
        <v>2043</v>
      </c>
      <c r="E55" s="26" t="s">
        <v>2044</v>
      </c>
      <c r="F55" s="37"/>
      <c r="G55" s="37"/>
      <c r="H55" s="25" t="s">
        <v>23</v>
      </c>
      <c r="I55" s="31" t="s">
        <v>2047</v>
      </c>
      <c r="J55" s="31" t="s">
        <v>2049</v>
      </c>
      <c r="K55" s="31" t="s">
        <v>2051</v>
      </c>
      <c r="L55" s="31" t="s">
        <v>2052</v>
      </c>
      <c r="M55" s="31" t="s">
        <v>2054</v>
      </c>
      <c r="N55" s="32" t="s">
        <v>2055</v>
      </c>
      <c r="O55" s="25" t="s">
        <v>2056</v>
      </c>
      <c r="P55" s="25" t="s">
        <v>2057</v>
      </c>
      <c r="Q55" s="37"/>
      <c r="R55" s="26" t="s">
        <v>2060</v>
      </c>
      <c r="S55" s="37"/>
      <c r="T55" s="34" t="s">
        <v>2062</v>
      </c>
      <c r="U55" s="34" t="s">
        <v>2067</v>
      </c>
      <c r="V55" s="35" t="s">
        <v>2070</v>
      </c>
      <c r="W55" s="37"/>
      <c r="X55" s="26" t="s">
        <v>70</v>
      </c>
    </row>
    <row r="56" ht="69.0" customHeight="1">
      <c r="A56" s="37"/>
      <c r="B56" s="52" t="s">
        <v>1916</v>
      </c>
      <c r="C56" s="26" t="s">
        <v>2074</v>
      </c>
      <c r="D56" s="26" t="s">
        <v>2076</v>
      </c>
      <c r="E56" s="26" t="s">
        <v>2077</v>
      </c>
      <c r="F56" s="37"/>
      <c r="G56" s="37"/>
      <c r="H56" s="25" t="s">
        <v>91</v>
      </c>
      <c r="I56" s="31" t="s">
        <v>2079</v>
      </c>
      <c r="J56" s="31" t="s">
        <v>2080</v>
      </c>
      <c r="K56" s="31" t="s">
        <v>2081</v>
      </c>
      <c r="L56" s="31" t="s">
        <v>2082</v>
      </c>
      <c r="M56" s="31" t="s">
        <v>2083</v>
      </c>
      <c r="N56" s="32" t="s">
        <v>2084</v>
      </c>
      <c r="O56" s="25" t="s">
        <v>2085</v>
      </c>
      <c r="P56" s="25" t="s">
        <v>2086</v>
      </c>
      <c r="Q56" s="37"/>
      <c r="R56" s="26" t="s">
        <v>2088</v>
      </c>
      <c r="S56" s="37"/>
      <c r="T56" s="34" t="s">
        <v>2091</v>
      </c>
      <c r="U56" s="34" t="s">
        <v>2094</v>
      </c>
      <c r="V56" s="35" t="s">
        <v>2096</v>
      </c>
      <c r="W56" s="37"/>
      <c r="X56" s="26" t="s">
        <v>70</v>
      </c>
    </row>
    <row r="57" ht="73.5" customHeight="1">
      <c r="A57" s="18"/>
      <c r="B57" s="52" t="s">
        <v>1916</v>
      </c>
      <c r="C57" s="26" t="s">
        <v>2099</v>
      </c>
      <c r="D57" s="26" t="s">
        <v>2101</v>
      </c>
      <c r="E57" s="26" t="s">
        <v>2103</v>
      </c>
      <c r="F57" s="18"/>
      <c r="G57" s="18"/>
      <c r="H57" s="25" t="s">
        <v>91</v>
      </c>
      <c r="I57" s="31" t="s">
        <v>2107</v>
      </c>
      <c r="J57" s="31" t="s">
        <v>2109</v>
      </c>
      <c r="K57" s="31" t="s">
        <v>2110</v>
      </c>
      <c r="L57" s="31" t="s">
        <v>2111</v>
      </c>
      <c r="M57" s="31" t="s">
        <v>2113</v>
      </c>
      <c r="N57" s="32" t="s">
        <v>2114</v>
      </c>
      <c r="O57" s="25" t="s">
        <v>2116</v>
      </c>
      <c r="P57" s="25" t="s">
        <v>2118</v>
      </c>
      <c r="Q57" s="18"/>
      <c r="R57" s="26" t="s">
        <v>2119</v>
      </c>
      <c r="S57" s="18"/>
      <c r="T57" s="34" t="s">
        <v>2120</v>
      </c>
      <c r="U57" s="34" t="s">
        <v>2123</v>
      </c>
      <c r="V57" s="35" t="s">
        <v>2125</v>
      </c>
      <c r="W57" s="18"/>
      <c r="X57" s="26" t="s">
        <v>70</v>
      </c>
    </row>
    <row r="58" ht="15.75" customHeight="1"/>
    <row r="59" ht="15.75" customHeight="1">
      <c r="B59" s="53" t="s">
        <v>2130</v>
      </c>
      <c r="C59" s="54"/>
      <c r="D59" s="55" t="s">
        <v>2139</v>
      </c>
    </row>
    <row r="60" ht="15.75" customHeight="1">
      <c r="C60" s="56"/>
      <c r="D60" s="55" t="s">
        <v>2142</v>
      </c>
    </row>
    <row r="61" ht="15.75" customHeight="1">
      <c r="C61" s="57"/>
      <c r="D61" s="55" t="s">
        <v>2147</v>
      </c>
    </row>
    <row r="62" ht="15.75" customHeight="1">
      <c r="C62" s="58"/>
      <c r="D62" s="55" t="s">
        <v>2148</v>
      </c>
    </row>
    <row r="63" ht="15.75" customHeight="1">
      <c r="C63" s="59"/>
      <c r="D63" s="55" t="s">
        <v>2151</v>
      </c>
    </row>
    <row r="64" ht="15.75" customHeight="1">
      <c r="C64" s="60"/>
      <c r="D64" s="55" t="s">
        <v>71</v>
      </c>
    </row>
    <row r="65" ht="15.75" customHeight="1">
      <c r="C65" s="61"/>
      <c r="D65" s="55" t="s">
        <v>2159</v>
      </c>
    </row>
    <row r="66" ht="15.75" customHeight="1">
      <c r="D66" s="62" t="s">
        <v>2163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62">
    <mergeCell ref="F39:F44"/>
    <mergeCell ref="F45:F48"/>
    <mergeCell ref="F49:F51"/>
    <mergeCell ref="F1:F2"/>
    <mergeCell ref="F3:F12"/>
    <mergeCell ref="F13:F26"/>
    <mergeCell ref="G13:G26"/>
    <mergeCell ref="F27:F38"/>
    <mergeCell ref="G27:G38"/>
    <mergeCell ref="G39:G44"/>
    <mergeCell ref="Q45:Q48"/>
    <mergeCell ref="Q49:Q51"/>
    <mergeCell ref="Q52:Q57"/>
    <mergeCell ref="S3:S12"/>
    <mergeCell ref="S13:S26"/>
    <mergeCell ref="Q27:Q38"/>
    <mergeCell ref="S27:S38"/>
    <mergeCell ref="Q39:Q44"/>
    <mergeCell ref="S39:S44"/>
    <mergeCell ref="S45:S48"/>
    <mergeCell ref="H1:H2"/>
    <mergeCell ref="I1:M1"/>
    <mergeCell ref="N1:N2"/>
    <mergeCell ref="O1:O2"/>
    <mergeCell ref="P1:P2"/>
    <mergeCell ref="Q1:Q2"/>
    <mergeCell ref="R1:R2"/>
    <mergeCell ref="W1:W2"/>
    <mergeCell ref="W3:W12"/>
    <mergeCell ref="W27:W38"/>
    <mergeCell ref="W39:W44"/>
    <mergeCell ref="W45:W48"/>
    <mergeCell ref="W49:W51"/>
    <mergeCell ref="W52:W57"/>
    <mergeCell ref="A3:A12"/>
    <mergeCell ref="A13:A26"/>
    <mergeCell ref="A27:A38"/>
    <mergeCell ref="A39:A44"/>
    <mergeCell ref="A45:A48"/>
    <mergeCell ref="A49:A51"/>
    <mergeCell ref="A52:A57"/>
    <mergeCell ref="A1:A2"/>
    <mergeCell ref="B1:B2"/>
    <mergeCell ref="C1:C2"/>
    <mergeCell ref="D1:D2"/>
    <mergeCell ref="E1:E2"/>
    <mergeCell ref="G1:G2"/>
    <mergeCell ref="G3:G12"/>
    <mergeCell ref="S1:S2"/>
    <mergeCell ref="T1:T2"/>
    <mergeCell ref="U1:U2"/>
    <mergeCell ref="V1:V2"/>
    <mergeCell ref="X1:X2"/>
    <mergeCell ref="Q3:Q12"/>
    <mergeCell ref="Q13:Q26"/>
    <mergeCell ref="W13:W26"/>
    <mergeCell ref="G45:G48"/>
    <mergeCell ref="G49:G51"/>
    <mergeCell ref="F52:F57"/>
    <mergeCell ref="G52:G57"/>
    <mergeCell ref="S49:S51"/>
    <mergeCell ref="S52:S57"/>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2"/>
      <c r="B1" s="2" t="s">
        <v>3</v>
      </c>
      <c r="C1" s="2" t="s">
        <v>5</v>
      </c>
      <c r="D1" s="2" t="s">
        <v>8</v>
      </c>
      <c r="E1" s="2" t="s">
        <v>15</v>
      </c>
      <c r="F1" s="2" t="s">
        <v>20</v>
      </c>
      <c r="G1" s="2" t="s">
        <v>22</v>
      </c>
      <c r="H1" s="2" t="s">
        <v>12</v>
      </c>
      <c r="I1" s="9" t="s">
        <v>25</v>
      </c>
      <c r="J1" s="11"/>
      <c r="K1" s="11"/>
      <c r="L1" s="11"/>
      <c r="M1" s="13"/>
      <c r="N1" s="14" t="s">
        <v>45</v>
      </c>
      <c r="O1" s="2" t="s">
        <v>58</v>
      </c>
      <c r="P1" s="2" t="s">
        <v>63</v>
      </c>
      <c r="Q1" s="2" t="s">
        <v>66</v>
      </c>
      <c r="R1" s="2" t="s">
        <v>67</v>
      </c>
      <c r="S1" s="2" t="s">
        <v>68</v>
      </c>
      <c r="T1" s="2" t="s">
        <v>71</v>
      </c>
      <c r="U1" s="2" t="s">
        <v>79</v>
      </c>
      <c r="V1" s="17" t="s">
        <v>86</v>
      </c>
      <c r="W1" s="2" t="s">
        <v>95</v>
      </c>
      <c r="X1" s="2" t="s">
        <v>99</v>
      </c>
    </row>
    <row r="2" ht="43.5" customHeight="1">
      <c r="A2" s="18"/>
      <c r="B2" s="18"/>
      <c r="C2" s="18"/>
      <c r="D2" s="18"/>
      <c r="E2" s="18"/>
      <c r="F2" s="18"/>
      <c r="G2" s="18"/>
      <c r="H2" s="18"/>
      <c r="I2" s="22" t="s">
        <v>115</v>
      </c>
      <c r="J2" s="22" t="s">
        <v>117</v>
      </c>
      <c r="K2" s="22" t="s">
        <v>119</v>
      </c>
      <c r="L2" s="22" t="s">
        <v>121</v>
      </c>
      <c r="M2" s="22" t="s">
        <v>123</v>
      </c>
      <c r="N2" s="18"/>
      <c r="O2" s="18"/>
      <c r="P2" s="18"/>
      <c r="Q2" s="18"/>
      <c r="R2" s="18"/>
      <c r="S2" s="18"/>
      <c r="T2" s="18"/>
      <c r="U2" s="18"/>
      <c r="V2" s="18"/>
      <c r="W2" s="18"/>
      <c r="X2" s="18"/>
    </row>
    <row r="3" ht="111.0" customHeight="1">
      <c r="A3" s="24"/>
      <c r="B3" s="25" t="s">
        <v>129</v>
      </c>
      <c r="C3" s="26" t="s">
        <v>132</v>
      </c>
      <c r="D3" s="26" t="s">
        <v>136</v>
      </c>
      <c r="E3" s="26" t="s">
        <v>137</v>
      </c>
      <c r="F3" s="28" t="s">
        <v>138</v>
      </c>
      <c r="G3" s="28" t="s">
        <v>146</v>
      </c>
      <c r="H3" s="25" t="s">
        <v>60</v>
      </c>
      <c r="I3" s="31" t="s">
        <v>149</v>
      </c>
      <c r="J3" s="31" t="s">
        <v>151</v>
      </c>
      <c r="K3" s="31" t="s">
        <v>152</v>
      </c>
      <c r="L3" s="31" t="s">
        <v>154</v>
      </c>
      <c r="M3" s="31" t="s">
        <v>155</v>
      </c>
      <c r="N3" s="32" t="s">
        <v>159</v>
      </c>
      <c r="O3" s="25" t="s">
        <v>165</v>
      </c>
      <c r="P3" s="25" t="s">
        <v>167</v>
      </c>
      <c r="Q3" s="28" t="s">
        <v>171</v>
      </c>
      <c r="R3" s="26" t="s">
        <v>176</v>
      </c>
      <c r="S3" s="28" t="s">
        <v>180</v>
      </c>
      <c r="T3" s="34" t="s">
        <v>185</v>
      </c>
      <c r="U3" s="34" t="s">
        <v>190</v>
      </c>
      <c r="V3" s="35" t="s">
        <v>197</v>
      </c>
      <c r="W3" s="28" t="s">
        <v>199</v>
      </c>
      <c r="X3" s="26" t="s">
        <v>70</v>
      </c>
    </row>
    <row r="4" ht="111.0" customHeight="1">
      <c r="A4" s="24"/>
      <c r="B4" s="25" t="s">
        <v>129</v>
      </c>
      <c r="C4" s="26" t="s">
        <v>202</v>
      </c>
      <c r="D4" s="26" t="s">
        <v>204</v>
      </c>
      <c r="E4" s="26" t="s">
        <v>206</v>
      </c>
      <c r="F4" s="37"/>
      <c r="G4" s="37"/>
      <c r="H4" s="25" t="s">
        <v>23</v>
      </c>
      <c r="I4" s="31" t="s">
        <v>211</v>
      </c>
      <c r="J4" s="31" t="s">
        <v>212</v>
      </c>
      <c r="K4" s="31" t="s">
        <v>214</v>
      </c>
      <c r="L4" s="31" t="s">
        <v>216</v>
      </c>
      <c r="M4" s="31" t="s">
        <v>217</v>
      </c>
      <c r="N4" s="32" t="s">
        <v>219</v>
      </c>
      <c r="O4" s="25" t="s">
        <v>220</v>
      </c>
      <c r="P4" s="25" t="s">
        <v>221</v>
      </c>
      <c r="Q4" s="37"/>
      <c r="R4" s="26" t="s">
        <v>222</v>
      </c>
      <c r="S4" s="37"/>
      <c r="T4" s="34" t="s">
        <v>224</v>
      </c>
      <c r="U4" s="34" t="s">
        <v>228</v>
      </c>
      <c r="V4" s="35" t="s">
        <v>229</v>
      </c>
      <c r="W4" s="37"/>
      <c r="X4" s="26" t="s">
        <v>70</v>
      </c>
    </row>
    <row r="5" ht="111.0" customHeight="1">
      <c r="A5" s="24"/>
      <c r="B5" s="25" t="s">
        <v>129</v>
      </c>
      <c r="C5" s="26" t="s">
        <v>202</v>
      </c>
      <c r="D5" s="26" t="s">
        <v>232</v>
      </c>
      <c r="E5" s="26" t="s">
        <v>234</v>
      </c>
      <c r="F5" s="37"/>
      <c r="G5" s="37"/>
      <c r="H5" s="25" t="s">
        <v>60</v>
      </c>
      <c r="I5" s="31" t="s">
        <v>238</v>
      </c>
      <c r="J5" s="31" t="s">
        <v>240</v>
      </c>
      <c r="K5" s="31" t="s">
        <v>242</v>
      </c>
      <c r="L5" s="31" t="s">
        <v>244</v>
      </c>
      <c r="M5" s="31" t="s">
        <v>246</v>
      </c>
      <c r="N5" s="32" t="s">
        <v>247</v>
      </c>
      <c r="O5" s="25" t="s">
        <v>249</v>
      </c>
      <c r="P5" s="25" t="s">
        <v>250</v>
      </c>
      <c r="Q5" s="37"/>
      <c r="R5" s="26" t="s">
        <v>252</v>
      </c>
      <c r="S5" s="37"/>
      <c r="T5" s="34" t="s">
        <v>253</v>
      </c>
      <c r="U5" s="34" t="s">
        <v>257</v>
      </c>
      <c r="V5" s="35" t="s">
        <v>258</v>
      </c>
      <c r="W5" s="37"/>
      <c r="X5" s="26" t="s">
        <v>70</v>
      </c>
    </row>
    <row r="6" ht="111.0" customHeight="1">
      <c r="A6" s="24"/>
      <c r="B6" s="25" t="s">
        <v>129</v>
      </c>
      <c r="C6" s="26" t="s">
        <v>262</v>
      </c>
      <c r="D6" s="26" t="s">
        <v>263</v>
      </c>
      <c r="E6" s="26" t="s">
        <v>265</v>
      </c>
      <c r="F6" s="18"/>
      <c r="G6" s="18"/>
      <c r="H6" s="25" t="s">
        <v>23</v>
      </c>
      <c r="I6" s="31" t="s">
        <v>269</v>
      </c>
      <c r="J6" s="31" t="s">
        <v>274</v>
      </c>
      <c r="K6" s="31" t="s">
        <v>276</v>
      </c>
      <c r="L6" s="31" t="s">
        <v>277</v>
      </c>
      <c r="M6" s="31" t="s">
        <v>278</v>
      </c>
      <c r="N6" s="32" t="s">
        <v>280</v>
      </c>
      <c r="O6" s="25" t="s">
        <v>281</v>
      </c>
      <c r="P6" s="25" t="s">
        <v>282</v>
      </c>
      <c r="Q6" s="18"/>
      <c r="R6" s="26" t="s">
        <v>283</v>
      </c>
      <c r="S6" s="18"/>
      <c r="T6" s="34" t="s">
        <v>285</v>
      </c>
      <c r="U6" s="34" t="s">
        <v>289</v>
      </c>
      <c r="V6" s="35" t="s">
        <v>291</v>
      </c>
      <c r="W6" s="18"/>
      <c r="X6" s="26" t="s">
        <v>70</v>
      </c>
    </row>
    <row r="7" ht="111.0" customHeight="1">
      <c r="A7" s="27" t="s">
        <v>292</v>
      </c>
      <c r="B7" s="25" t="s">
        <v>129</v>
      </c>
      <c r="C7" s="25" t="s">
        <v>299</v>
      </c>
      <c r="D7" s="25" t="s">
        <v>301</v>
      </c>
      <c r="E7" s="25" t="s">
        <v>303</v>
      </c>
      <c r="F7" s="29" t="s">
        <v>305</v>
      </c>
      <c r="G7" s="29" t="s">
        <v>310</v>
      </c>
      <c r="H7" s="25" t="s">
        <v>60</v>
      </c>
      <c r="I7" s="31" t="s">
        <v>316</v>
      </c>
      <c r="J7" s="31" t="s">
        <v>318</v>
      </c>
      <c r="K7" s="31" t="s">
        <v>320</v>
      </c>
      <c r="L7" s="31" t="s">
        <v>323</v>
      </c>
      <c r="M7" s="31" t="s">
        <v>324</v>
      </c>
      <c r="N7" s="32" t="s">
        <v>326</v>
      </c>
      <c r="O7" s="25" t="s">
        <v>329</v>
      </c>
      <c r="P7" s="25" t="s">
        <v>330</v>
      </c>
      <c r="Q7" s="29" t="s">
        <v>331</v>
      </c>
      <c r="R7" s="25" t="s">
        <v>334</v>
      </c>
      <c r="S7" s="29" t="s">
        <v>337</v>
      </c>
      <c r="T7" s="34" t="s">
        <v>340</v>
      </c>
      <c r="U7" s="34" t="s">
        <v>347</v>
      </c>
      <c r="V7" s="35" t="s">
        <v>350</v>
      </c>
      <c r="W7" s="29" t="s">
        <v>353</v>
      </c>
      <c r="X7" s="36" t="s">
        <v>354</v>
      </c>
    </row>
    <row r="8" ht="75.0" customHeight="1">
      <c r="A8" s="37"/>
      <c r="B8" s="25" t="s">
        <v>129</v>
      </c>
      <c r="C8" s="25" t="s">
        <v>299</v>
      </c>
      <c r="D8" s="25" t="s">
        <v>358</v>
      </c>
      <c r="E8" s="25" t="s">
        <v>359</v>
      </c>
      <c r="F8" s="37"/>
      <c r="G8" s="37"/>
      <c r="H8" s="25" t="s">
        <v>23</v>
      </c>
      <c r="I8" s="31" t="s">
        <v>362</v>
      </c>
      <c r="J8" s="31" t="s">
        <v>363</v>
      </c>
      <c r="K8" s="31" t="s">
        <v>364</v>
      </c>
      <c r="L8" s="31" t="s">
        <v>366</v>
      </c>
      <c r="M8" s="31" t="s">
        <v>368</v>
      </c>
      <c r="N8" s="32" t="s">
        <v>369</v>
      </c>
      <c r="O8" s="25" t="s">
        <v>371</v>
      </c>
      <c r="P8" s="25" t="s">
        <v>373</v>
      </c>
      <c r="Q8" s="37"/>
      <c r="R8" s="25" t="s">
        <v>375</v>
      </c>
      <c r="S8" s="37"/>
      <c r="T8" s="34" t="s">
        <v>379</v>
      </c>
      <c r="U8" s="34" t="s">
        <v>382</v>
      </c>
      <c r="V8" s="35" t="s">
        <v>383</v>
      </c>
      <c r="W8" s="37"/>
      <c r="X8" s="36" t="s">
        <v>384</v>
      </c>
    </row>
    <row r="9" ht="61.5" customHeight="1">
      <c r="A9" s="37"/>
      <c r="B9" s="25" t="s">
        <v>129</v>
      </c>
      <c r="C9" s="25" t="s">
        <v>299</v>
      </c>
      <c r="D9" s="25" t="s">
        <v>358</v>
      </c>
      <c r="E9" s="25" t="s">
        <v>388</v>
      </c>
      <c r="F9" s="37"/>
      <c r="G9" s="37"/>
      <c r="H9" s="25" t="s">
        <v>23</v>
      </c>
      <c r="I9" s="31" t="s">
        <v>390</v>
      </c>
      <c r="J9" s="31" t="s">
        <v>392</v>
      </c>
      <c r="K9" s="31" t="s">
        <v>394</v>
      </c>
      <c r="L9" s="31" t="s">
        <v>395</v>
      </c>
      <c r="M9" s="31" t="s">
        <v>396</v>
      </c>
      <c r="N9" s="32" t="s">
        <v>398</v>
      </c>
      <c r="O9" s="25" t="s">
        <v>400</v>
      </c>
      <c r="P9" s="25" t="s">
        <v>401</v>
      </c>
      <c r="Q9" s="37"/>
      <c r="R9" s="25" t="s">
        <v>403</v>
      </c>
      <c r="S9" s="37"/>
      <c r="T9" s="34" t="s">
        <v>404</v>
      </c>
      <c r="U9" s="34" t="s">
        <v>406</v>
      </c>
      <c r="V9" s="35" t="s">
        <v>408</v>
      </c>
      <c r="W9" s="37"/>
      <c r="X9" s="36" t="s">
        <v>410</v>
      </c>
    </row>
    <row r="10" ht="82.5" customHeight="1">
      <c r="A10" s="37"/>
      <c r="B10" s="25" t="s">
        <v>129</v>
      </c>
      <c r="C10" s="25" t="s">
        <v>413</v>
      </c>
      <c r="D10" s="25" t="s">
        <v>414</v>
      </c>
      <c r="E10" s="25" t="s">
        <v>415</v>
      </c>
      <c r="F10" s="37"/>
      <c r="G10" s="37"/>
      <c r="H10" s="25" t="s">
        <v>60</v>
      </c>
      <c r="I10" s="31" t="s">
        <v>417</v>
      </c>
      <c r="J10" s="31" t="s">
        <v>418</v>
      </c>
      <c r="K10" s="31" t="s">
        <v>420</v>
      </c>
      <c r="L10" s="31" t="s">
        <v>421</v>
      </c>
      <c r="M10" s="31" t="s">
        <v>422</v>
      </c>
      <c r="N10" s="32" t="s">
        <v>423</v>
      </c>
      <c r="O10" s="25" t="s">
        <v>424</v>
      </c>
      <c r="P10" s="25" t="s">
        <v>425</v>
      </c>
      <c r="Q10" s="37"/>
      <c r="R10" s="25" t="s">
        <v>426</v>
      </c>
      <c r="S10" s="37"/>
      <c r="T10" s="34" t="s">
        <v>428</v>
      </c>
      <c r="U10" s="34" t="s">
        <v>431</v>
      </c>
      <c r="V10" s="35" t="s">
        <v>432</v>
      </c>
      <c r="W10" s="37"/>
      <c r="X10" s="36" t="s">
        <v>433</v>
      </c>
    </row>
    <row r="11" ht="70.5" customHeight="1">
      <c r="A11" s="37"/>
      <c r="B11" s="25" t="s">
        <v>129</v>
      </c>
      <c r="C11" s="25" t="s">
        <v>413</v>
      </c>
      <c r="D11" s="25" t="s">
        <v>436</v>
      </c>
      <c r="E11" s="25" t="s">
        <v>437</v>
      </c>
      <c r="F11" s="37"/>
      <c r="G11" s="37"/>
      <c r="H11" s="25" t="s">
        <v>91</v>
      </c>
      <c r="I11" s="31" t="s">
        <v>440</v>
      </c>
      <c r="J11" s="31" t="s">
        <v>441</v>
      </c>
      <c r="K11" s="31" t="s">
        <v>443</v>
      </c>
      <c r="L11" s="31" t="s">
        <v>445</v>
      </c>
      <c r="M11" s="31" t="s">
        <v>447</v>
      </c>
      <c r="N11" s="32" t="s">
        <v>449</v>
      </c>
      <c r="O11" s="25" t="s">
        <v>451</v>
      </c>
      <c r="P11" s="25" t="s">
        <v>453</v>
      </c>
      <c r="Q11" s="37"/>
      <c r="R11" s="25" t="s">
        <v>455</v>
      </c>
      <c r="S11" s="37"/>
      <c r="T11" s="34" t="s">
        <v>457</v>
      </c>
      <c r="U11" s="34" t="s">
        <v>462</v>
      </c>
      <c r="V11" s="35" t="s">
        <v>464</v>
      </c>
      <c r="W11" s="37"/>
      <c r="X11" s="36" t="s">
        <v>467</v>
      </c>
    </row>
    <row r="12" ht="84.0" customHeight="1">
      <c r="A12" s="37"/>
      <c r="B12" s="25" t="s">
        <v>129</v>
      </c>
      <c r="C12" s="25" t="s">
        <v>470</v>
      </c>
      <c r="D12" s="25" t="s">
        <v>471</v>
      </c>
      <c r="E12" s="25" t="s">
        <v>472</v>
      </c>
      <c r="F12" s="37"/>
      <c r="G12" s="37"/>
      <c r="H12" s="25" t="s">
        <v>91</v>
      </c>
      <c r="I12" s="31" t="s">
        <v>474</v>
      </c>
      <c r="J12" s="31" t="s">
        <v>475</v>
      </c>
      <c r="K12" s="31" t="s">
        <v>476</v>
      </c>
      <c r="L12" s="31" t="s">
        <v>477</v>
      </c>
      <c r="M12" s="31" t="s">
        <v>478</v>
      </c>
      <c r="N12" s="32" t="s">
        <v>479</v>
      </c>
      <c r="O12" s="25" t="s">
        <v>480</v>
      </c>
      <c r="P12" s="25" t="s">
        <v>482</v>
      </c>
      <c r="Q12" s="37"/>
      <c r="R12" s="25" t="s">
        <v>484</v>
      </c>
      <c r="S12" s="37"/>
      <c r="T12" s="34" t="s">
        <v>488</v>
      </c>
      <c r="U12" s="34" t="s">
        <v>493</v>
      </c>
      <c r="V12" s="35" t="s">
        <v>494</v>
      </c>
      <c r="W12" s="37"/>
      <c r="X12" s="36" t="s">
        <v>495</v>
      </c>
    </row>
    <row r="13" ht="54.0" customHeight="1">
      <c r="A13" s="37"/>
      <c r="B13" s="25" t="s">
        <v>129</v>
      </c>
      <c r="C13" s="25" t="s">
        <v>470</v>
      </c>
      <c r="D13" s="25" t="s">
        <v>498</v>
      </c>
      <c r="E13" s="25" t="s">
        <v>499</v>
      </c>
      <c r="F13" s="37"/>
      <c r="G13" s="37"/>
      <c r="H13" s="25" t="s">
        <v>60</v>
      </c>
      <c r="I13" s="31" t="s">
        <v>500</v>
      </c>
      <c r="J13" s="31" t="s">
        <v>501</v>
      </c>
      <c r="K13" s="31" t="s">
        <v>503</v>
      </c>
      <c r="L13" s="31" t="s">
        <v>504</v>
      </c>
      <c r="M13" s="31" t="s">
        <v>505</v>
      </c>
      <c r="N13" s="32" t="s">
        <v>506</v>
      </c>
      <c r="O13" s="25" t="s">
        <v>507</v>
      </c>
      <c r="P13" s="25" t="s">
        <v>508</v>
      </c>
      <c r="Q13" s="37"/>
      <c r="R13" s="25" t="s">
        <v>510</v>
      </c>
      <c r="S13" s="37"/>
      <c r="T13" s="34" t="s">
        <v>512</v>
      </c>
      <c r="U13" s="34" t="s">
        <v>517</v>
      </c>
      <c r="V13" s="35" t="s">
        <v>518</v>
      </c>
      <c r="W13" s="37"/>
      <c r="X13" s="36" t="s">
        <v>519</v>
      </c>
    </row>
    <row r="14" ht="52.5" customHeight="1">
      <c r="A14" s="37"/>
      <c r="B14" s="25" t="s">
        <v>129</v>
      </c>
      <c r="C14" s="25" t="s">
        <v>470</v>
      </c>
      <c r="D14" s="25" t="s">
        <v>523</v>
      </c>
      <c r="E14" s="25" t="s">
        <v>525</v>
      </c>
      <c r="F14" s="37"/>
      <c r="G14" s="37"/>
      <c r="H14" s="25" t="s">
        <v>23</v>
      </c>
      <c r="I14" s="31" t="s">
        <v>528</v>
      </c>
      <c r="J14" s="31" t="s">
        <v>531</v>
      </c>
      <c r="K14" s="31" t="s">
        <v>532</v>
      </c>
      <c r="L14" s="31" t="s">
        <v>534</v>
      </c>
      <c r="M14" s="31" t="s">
        <v>536</v>
      </c>
      <c r="N14" s="32" t="s">
        <v>539</v>
      </c>
      <c r="O14" s="25" t="s">
        <v>540</v>
      </c>
      <c r="P14" s="25" t="s">
        <v>542</v>
      </c>
      <c r="Q14" s="37"/>
      <c r="R14" s="25" t="s">
        <v>544</v>
      </c>
      <c r="S14" s="37"/>
      <c r="T14" s="34" t="s">
        <v>547</v>
      </c>
      <c r="U14" s="34" t="s">
        <v>551</v>
      </c>
      <c r="V14" s="35" t="s">
        <v>554</v>
      </c>
      <c r="W14" s="37"/>
      <c r="X14" s="36" t="s">
        <v>558</v>
      </c>
    </row>
    <row r="15" ht="84.0" customHeight="1">
      <c r="A15" s="37"/>
      <c r="B15" s="25" t="s">
        <v>129</v>
      </c>
      <c r="C15" s="25" t="s">
        <v>562</v>
      </c>
      <c r="D15" s="25" t="s">
        <v>564</v>
      </c>
      <c r="E15" s="25" t="s">
        <v>565</v>
      </c>
      <c r="F15" s="37"/>
      <c r="G15" s="37"/>
      <c r="H15" s="25" t="s">
        <v>91</v>
      </c>
      <c r="I15" s="31" t="s">
        <v>569</v>
      </c>
      <c r="J15" s="31" t="s">
        <v>571</v>
      </c>
      <c r="K15" s="31" t="s">
        <v>573</v>
      </c>
      <c r="L15" s="31" t="s">
        <v>577</v>
      </c>
      <c r="M15" s="31" t="s">
        <v>579</v>
      </c>
      <c r="N15" s="32" t="s">
        <v>581</v>
      </c>
      <c r="O15" s="25" t="s">
        <v>583</v>
      </c>
      <c r="P15" s="25" t="s">
        <v>585</v>
      </c>
      <c r="Q15" s="37"/>
      <c r="R15" s="25" t="s">
        <v>589</v>
      </c>
      <c r="S15" s="37"/>
      <c r="T15" s="34" t="s">
        <v>593</v>
      </c>
      <c r="U15" s="34" t="s">
        <v>602</v>
      </c>
      <c r="V15" s="35" t="s">
        <v>606</v>
      </c>
      <c r="W15" s="37"/>
      <c r="X15" s="36" t="s">
        <v>607</v>
      </c>
    </row>
    <row r="16" ht="60.0" customHeight="1">
      <c r="A16" s="18"/>
      <c r="B16" s="25" t="s">
        <v>129</v>
      </c>
      <c r="C16" s="25" t="s">
        <v>562</v>
      </c>
      <c r="D16" s="25" t="s">
        <v>612</v>
      </c>
      <c r="E16" s="25" t="s">
        <v>613</v>
      </c>
      <c r="F16" s="18"/>
      <c r="G16" s="18"/>
      <c r="H16" s="25" t="s">
        <v>60</v>
      </c>
      <c r="I16" s="31" t="s">
        <v>618</v>
      </c>
      <c r="J16" s="31" t="s">
        <v>620</v>
      </c>
      <c r="K16" s="31" t="s">
        <v>622</v>
      </c>
      <c r="L16" s="31" t="s">
        <v>624</v>
      </c>
      <c r="M16" s="31" t="s">
        <v>627</v>
      </c>
      <c r="N16" s="32" t="s">
        <v>629</v>
      </c>
      <c r="O16" s="25" t="s">
        <v>630</v>
      </c>
      <c r="P16" s="25" t="s">
        <v>633</v>
      </c>
      <c r="Q16" s="18"/>
      <c r="R16" s="25" t="s">
        <v>636</v>
      </c>
      <c r="S16" s="18"/>
      <c r="T16" s="34" t="s">
        <v>640</v>
      </c>
      <c r="U16" s="34" t="s">
        <v>649</v>
      </c>
      <c r="V16" s="35" t="s">
        <v>651</v>
      </c>
      <c r="W16" s="18"/>
      <c r="X16" s="36" t="s">
        <v>655</v>
      </c>
    </row>
    <row r="17" ht="99.0" customHeight="1">
      <c r="A17" s="27" t="s">
        <v>657</v>
      </c>
      <c r="B17" s="38" t="s">
        <v>669</v>
      </c>
      <c r="C17" s="25" t="s">
        <v>672</v>
      </c>
      <c r="D17" s="25" t="s">
        <v>675</v>
      </c>
      <c r="E17" s="25" t="s">
        <v>676</v>
      </c>
      <c r="F17" s="29" t="s">
        <v>677</v>
      </c>
      <c r="G17" s="29" t="s">
        <v>683</v>
      </c>
      <c r="H17" s="25" t="s">
        <v>60</v>
      </c>
      <c r="I17" s="31" t="s">
        <v>149</v>
      </c>
      <c r="J17" s="31" t="s">
        <v>151</v>
      </c>
      <c r="K17" s="31" t="s">
        <v>152</v>
      </c>
      <c r="L17" s="31" t="s">
        <v>154</v>
      </c>
      <c r="M17" s="31" t="s">
        <v>155</v>
      </c>
      <c r="N17" s="32" t="s">
        <v>159</v>
      </c>
      <c r="O17" s="25" t="s">
        <v>165</v>
      </c>
      <c r="P17" s="25" t="s">
        <v>167</v>
      </c>
      <c r="Q17" s="29" t="s">
        <v>721</v>
      </c>
      <c r="R17" s="25" t="s">
        <v>736</v>
      </c>
      <c r="S17" s="29" t="s">
        <v>741</v>
      </c>
      <c r="T17" s="34" t="s">
        <v>753</v>
      </c>
      <c r="U17" s="34" t="s">
        <v>766</v>
      </c>
      <c r="V17" s="35" t="s">
        <v>769</v>
      </c>
      <c r="W17" s="29" t="s">
        <v>778</v>
      </c>
      <c r="X17" s="36" t="s">
        <v>783</v>
      </c>
    </row>
    <row r="18" ht="58.5" customHeight="1">
      <c r="A18" s="37"/>
      <c r="B18" s="38" t="s">
        <v>669</v>
      </c>
      <c r="C18" s="25" t="s">
        <v>672</v>
      </c>
      <c r="D18" s="25" t="s">
        <v>788</v>
      </c>
      <c r="E18" s="25" t="s">
        <v>789</v>
      </c>
      <c r="F18" s="37"/>
      <c r="G18" s="37"/>
      <c r="H18" s="25" t="s">
        <v>60</v>
      </c>
      <c r="I18" s="31" t="s">
        <v>794</v>
      </c>
      <c r="J18" s="31" t="s">
        <v>796</v>
      </c>
      <c r="K18" s="31" t="s">
        <v>800</v>
      </c>
      <c r="L18" s="31" t="s">
        <v>806</v>
      </c>
      <c r="M18" s="31" t="s">
        <v>808</v>
      </c>
      <c r="N18" s="32" t="s">
        <v>811</v>
      </c>
      <c r="O18" s="25" t="s">
        <v>813</v>
      </c>
      <c r="P18" s="25" t="s">
        <v>814</v>
      </c>
      <c r="Q18" s="37"/>
      <c r="R18" s="25" t="s">
        <v>817</v>
      </c>
      <c r="S18" s="37"/>
      <c r="T18" s="34" t="s">
        <v>823</v>
      </c>
      <c r="U18" s="34" t="s">
        <v>833</v>
      </c>
      <c r="V18" s="35" t="s">
        <v>835</v>
      </c>
      <c r="W18" s="37"/>
      <c r="X18" s="36" t="s">
        <v>839</v>
      </c>
    </row>
    <row r="19" ht="66.0" customHeight="1">
      <c r="A19" s="37"/>
      <c r="B19" s="38" t="s">
        <v>669</v>
      </c>
      <c r="C19" s="25" t="s">
        <v>845</v>
      </c>
      <c r="D19" s="25" t="s">
        <v>847</v>
      </c>
      <c r="E19" s="25" t="s">
        <v>850</v>
      </c>
      <c r="F19" s="37"/>
      <c r="G19" s="37"/>
      <c r="H19" s="25" t="s">
        <v>23</v>
      </c>
      <c r="I19" s="31" t="s">
        <v>211</v>
      </c>
      <c r="J19" s="31" t="s">
        <v>212</v>
      </c>
      <c r="K19" s="31" t="s">
        <v>214</v>
      </c>
      <c r="L19" s="31" t="s">
        <v>216</v>
      </c>
      <c r="M19" s="31" t="s">
        <v>217</v>
      </c>
      <c r="N19" s="32" t="s">
        <v>219</v>
      </c>
      <c r="O19" s="25" t="s">
        <v>220</v>
      </c>
      <c r="P19" s="25" t="s">
        <v>221</v>
      </c>
      <c r="Q19" s="37"/>
      <c r="R19" s="25" t="s">
        <v>867</v>
      </c>
      <c r="S19" s="37"/>
      <c r="T19" s="34" t="s">
        <v>871</v>
      </c>
      <c r="U19" s="34" t="s">
        <v>881</v>
      </c>
      <c r="V19" s="35" t="s">
        <v>884</v>
      </c>
      <c r="W19" s="37"/>
      <c r="X19" s="36" t="s">
        <v>887</v>
      </c>
    </row>
    <row r="20" ht="60.0" customHeight="1">
      <c r="A20" s="37"/>
      <c r="B20" s="38" t="s">
        <v>669</v>
      </c>
      <c r="C20" s="25" t="s">
        <v>845</v>
      </c>
      <c r="D20" s="25" t="s">
        <v>894</v>
      </c>
      <c r="E20" s="25" t="s">
        <v>896</v>
      </c>
      <c r="F20" s="37"/>
      <c r="G20" s="37"/>
      <c r="H20" s="25" t="s">
        <v>60</v>
      </c>
      <c r="I20" s="31" t="s">
        <v>238</v>
      </c>
      <c r="J20" s="31" t="s">
        <v>240</v>
      </c>
      <c r="K20" s="31" t="s">
        <v>242</v>
      </c>
      <c r="L20" s="31" t="s">
        <v>244</v>
      </c>
      <c r="M20" s="31" t="s">
        <v>246</v>
      </c>
      <c r="N20" s="32" t="s">
        <v>247</v>
      </c>
      <c r="O20" s="25" t="s">
        <v>249</v>
      </c>
      <c r="P20" s="25" t="s">
        <v>250</v>
      </c>
      <c r="Q20" s="37"/>
      <c r="R20" s="25" t="s">
        <v>905</v>
      </c>
      <c r="S20" s="37"/>
      <c r="T20" s="34" t="s">
        <v>906</v>
      </c>
      <c r="U20" s="34" t="s">
        <v>909</v>
      </c>
      <c r="V20" s="35" t="s">
        <v>910</v>
      </c>
      <c r="W20" s="37"/>
      <c r="X20" s="36" t="s">
        <v>912</v>
      </c>
    </row>
    <row r="21" ht="55.5" customHeight="1">
      <c r="A21" s="37"/>
      <c r="B21" s="38" t="s">
        <v>669</v>
      </c>
      <c r="C21" s="25" t="s">
        <v>916</v>
      </c>
      <c r="D21" s="25" t="s">
        <v>917</v>
      </c>
      <c r="E21" s="25" t="s">
        <v>919</v>
      </c>
      <c r="F21" s="37"/>
      <c r="G21" s="37"/>
      <c r="H21" s="25" t="s">
        <v>23</v>
      </c>
      <c r="I21" s="31" t="s">
        <v>269</v>
      </c>
      <c r="J21" s="31" t="s">
        <v>274</v>
      </c>
      <c r="K21" s="31" t="s">
        <v>276</v>
      </c>
      <c r="L21" s="31" t="s">
        <v>277</v>
      </c>
      <c r="M21" s="31" t="s">
        <v>278</v>
      </c>
      <c r="N21" s="32" t="s">
        <v>280</v>
      </c>
      <c r="O21" s="25" t="s">
        <v>281</v>
      </c>
      <c r="P21" s="25" t="s">
        <v>282</v>
      </c>
      <c r="Q21" s="37"/>
      <c r="R21" s="25" t="s">
        <v>923</v>
      </c>
      <c r="S21" s="37"/>
      <c r="T21" s="34" t="s">
        <v>925</v>
      </c>
      <c r="U21" s="34" t="s">
        <v>928</v>
      </c>
      <c r="V21" s="35" t="s">
        <v>929</v>
      </c>
      <c r="W21" s="37"/>
      <c r="X21" s="36" t="s">
        <v>931</v>
      </c>
    </row>
    <row r="22" ht="63.0" customHeight="1">
      <c r="A22" s="37"/>
      <c r="B22" s="38" t="s">
        <v>669</v>
      </c>
      <c r="C22" s="25" t="s">
        <v>916</v>
      </c>
      <c r="D22" s="25" t="s">
        <v>933</v>
      </c>
      <c r="E22" s="25" t="s">
        <v>934</v>
      </c>
      <c r="F22" s="37"/>
      <c r="G22" s="37"/>
      <c r="H22" s="25" t="s">
        <v>23</v>
      </c>
      <c r="I22" s="31" t="s">
        <v>935</v>
      </c>
      <c r="J22" s="31" t="s">
        <v>937</v>
      </c>
      <c r="K22" s="31" t="s">
        <v>939</v>
      </c>
      <c r="L22" s="31" t="s">
        <v>941</v>
      </c>
      <c r="M22" s="31" t="s">
        <v>942</v>
      </c>
      <c r="N22" s="32" t="s">
        <v>944</v>
      </c>
      <c r="O22" s="25" t="s">
        <v>945</v>
      </c>
      <c r="P22" s="25" t="s">
        <v>946</v>
      </c>
      <c r="Q22" s="37"/>
      <c r="R22" s="25" t="s">
        <v>947</v>
      </c>
      <c r="S22" s="37"/>
      <c r="T22" s="34" t="s">
        <v>948</v>
      </c>
      <c r="U22" s="34" t="s">
        <v>950</v>
      </c>
      <c r="V22" s="35" t="s">
        <v>952</v>
      </c>
      <c r="W22" s="37"/>
      <c r="X22" s="36" t="s">
        <v>954</v>
      </c>
    </row>
    <row r="23" ht="67.5" customHeight="1">
      <c r="A23" s="37"/>
      <c r="B23" s="38" t="s">
        <v>669</v>
      </c>
      <c r="C23" s="25" t="s">
        <v>916</v>
      </c>
      <c r="D23" s="25" t="s">
        <v>956</v>
      </c>
      <c r="E23" s="25" t="s">
        <v>958</v>
      </c>
      <c r="F23" s="37"/>
      <c r="G23" s="37"/>
      <c r="H23" s="25" t="s">
        <v>91</v>
      </c>
      <c r="I23" s="31" t="s">
        <v>959</v>
      </c>
      <c r="J23" s="31" t="s">
        <v>961</v>
      </c>
      <c r="K23" s="31" t="s">
        <v>962</v>
      </c>
      <c r="L23" s="31" t="s">
        <v>963</v>
      </c>
      <c r="M23" s="31" t="s">
        <v>964</v>
      </c>
      <c r="N23" s="32" t="s">
        <v>965</v>
      </c>
      <c r="O23" s="25" t="s">
        <v>966</v>
      </c>
      <c r="P23" s="25" t="s">
        <v>967</v>
      </c>
      <c r="Q23" s="37"/>
      <c r="R23" s="25" t="s">
        <v>969</v>
      </c>
      <c r="S23" s="37"/>
      <c r="T23" s="34" t="s">
        <v>972</v>
      </c>
      <c r="U23" s="34" t="s">
        <v>973</v>
      </c>
      <c r="V23" s="35" t="s">
        <v>974</v>
      </c>
      <c r="W23" s="37"/>
      <c r="X23" s="36" t="s">
        <v>976</v>
      </c>
    </row>
    <row r="24" ht="60.0" customHeight="1">
      <c r="A24" s="37"/>
      <c r="B24" s="38" t="s">
        <v>669</v>
      </c>
      <c r="C24" s="25" t="s">
        <v>978</v>
      </c>
      <c r="D24" s="25" t="s">
        <v>979</v>
      </c>
      <c r="E24" s="25" t="s">
        <v>980</v>
      </c>
      <c r="F24" s="37"/>
      <c r="G24" s="37"/>
      <c r="H24" s="25" t="s">
        <v>91</v>
      </c>
      <c r="I24" s="31" t="s">
        <v>982</v>
      </c>
      <c r="J24" s="31" t="s">
        <v>984</v>
      </c>
      <c r="K24" s="31" t="s">
        <v>985</v>
      </c>
      <c r="L24" s="31" t="s">
        <v>987</v>
      </c>
      <c r="M24" s="31" t="s">
        <v>988</v>
      </c>
      <c r="N24" s="32" t="s">
        <v>990</v>
      </c>
      <c r="O24" s="25" t="s">
        <v>991</v>
      </c>
      <c r="P24" s="25" t="s">
        <v>992</v>
      </c>
      <c r="Q24" s="37"/>
      <c r="R24" s="25" t="s">
        <v>993</v>
      </c>
      <c r="S24" s="37"/>
      <c r="T24" s="34" t="s">
        <v>995</v>
      </c>
      <c r="U24" s="34" t="s">
        <v>997</v>
      </c>
      <c r="V24" s="35" t="s">
        <v>999</v>
      </c>
      <c r="W24" s="37"/>
      <c r="X24" s="36" t="s">
        <v>1001</v>
      </c>
    </row>
    <row r="25" ht="51.0" customHeight="1">
      <c r="A25" s="37"/>
      <c r="B25" s="38" t="s">
        <v>669</v>
      </c>
      <c r="C25" s="25" t="s">
        <v>978</v>
      </c>
      <c r="D25" s="25" t="s">
        <v>1003</v>
      </c>
      <c r="E25" s="25" t="s">
        <v>1004</v>
      </c>
      <c r="F25" s="37"/>
      <c r="G25" s="37"/>
      <c r="H25" s="25" t="s">
        <v>23</v>
      </c>
      <c r="I25" s="31" t="s">
        <v>1005</v>
      </c>
      <c r="J25" s="31" t="s">
        <v>1007</v>
      </c>
      <c r="K25" s="31" t="s">
        <v>1008</v>
      </c>
      <c r="L25" s="31" t="s">
        <v>1009</v>
      </c>
      <c r="M25" s="31" t="s">
        <v>1010</v>
      </c>
      <c r="N25" s="32" t="s">
        <v>1011</v>
      </c>
      <c r="O25" s="25" t="s">
        <v>1012</v>
      </c>
      <c r="P25" s="25" t="s">
        <v>1013</v>
      </c>
      <c r="Q25" s="37"/>
      <c r="R25" s="25" t="s">
        <v>1014</v>
      </c>
      <c r="S25" s="37"/>
      <c r="T25" s="34" t="s">
        <v>1016</v>
      </c>
      <c r="U25" s="34" t="s">
        <v>1019</v>
      </c>
      <c r="V25" s="35" t="s">
        <v>1021</v>
      </c>
      <c r="W25" s="37"/>
      <c r="X25" s="36" t="s">
        <v>1022</v>
      </c>
    </row>
    <row r="26" ht="57.0" customHeight="1">
      <c r="A26" s="37"/>
      <c r="B26" s="38" t="s">
        <v>669</v>
      </c>
      <c r="C26" s="26" t="s">
        <v>1023</v>
      </c>
      <c r="D26" s="26" t="s">
        <v>1024</v>
      </c>
      <c r="E26" s="26" t="s">
        <v>1025</v>
      </c>
      <c r="F26" s="37"/>
      <c r="G26" s="37"/>
      <c r="H26" s="25" t="s">
        <v>23</v>
      </c>
      <c r="I26" s="31" t="s">
        <v>1026</v>
      </c>
      <c r="J26" s="31" t="s">
        <v>1027</v>
      </c>
      <c r="K26" s="31" t="s">
        <v>1028</v>
      </c>
      <c r="L26" s="31" t="s">
        <v>1029</v>
      </c>
      <c r="M26" s="31" t="s">
        <v>1031</v>
      </c>
      <c r="N26" s="32" t="s">
        <v>1033</v>
      </c>
      <c r="O26" s="25" t="s">
        <v>1035</v>
      </c>
      <c r="P26" s="25" t="s">
        <v>1036</v>
      </c>
      <c r="Q26" s="37"/>
      <c r="R26" s="26" t="s">
        <v>1039</v>
      </c>
      <c r="S26" s="37"/>
      <c r="T26" s="34" t="s">
        <v>1040</v>
      </c>
      <c r="U26" s="34" t="s">
        <v>1042</v>
      </c>
      <c r="V26" s="35" t="s">
        <v>1043</v>
      </c>
      <c r="W26" s="37"/>
      <c r="X26" s="26" t="s">
        <v>1044</v>
      </c>
    </row>
    <row r="27" ht="57.0" customHeight="1">
      <c r="A27" s="37"/>
      <c r="B27" s="38" t="s">
        <v>669</v>
      </c>
      <c r="C27" s="26" t="s">
        <v>1023</v>
      </c>
      <c r="D27" s="26" t="s">
        <v>1047</v>
      </c>
      <c r="E27" s="26" t="s">
        <v>1049</v>
      </c>
      <c r="F27" s="37"/>
      <c r="G27" s="37"/>
      <c r="H27" s="25" t="s">
        <v>23</v>
      </c>
      <c r="I27" s="31" t="s">
        <v>1053</v>
      </c>
      <c r="J27" s="31" t="s">
        <v>1056</v>
      </c>
      <c r="K27" s="31" t="s">
        <v>1058</v>
      </c>
      <c r="L27" s="31" t="s">
        <v>1059</v>
      </c>
      <c r="M27" s="31" t="s">
        <v>1060</v>
      </c>
      <c r="N27" s="32" t="s">
        <v>1061</v>
      </c>
      <c r="O27" s="25" t="s">
        <v>1063</v>
      </c>
      <c r="P27" s="25" t="s">
        <v>1064</v>
      </c>
      <c r="Q27" s="37"/>
      <c r="R27" s="26" t="s">
        <v>1066</v>
      </c>
      <c r="S27" s="37"/>
      <c r="T27" s="34" t="s">
        <v>1068</v>
      </c>
      <c r="U27" s="34" t="s">
        <v>1071</v>
      </c>
      <c r="V27" s="35" t="s">
        <v>1073</v>
      </c>
      <c r="W27" s="37"/>
      <c r="X27" s="26" t="s">
        <v>1044</v>
      </c>
    </row>
    <row r="28" ht="55.5" customHeight="1">
      <c r="A28" s="18"/>
      <c r="B28" s="38" t="s">
        <v>669</v>
      </c>
      <c r="C28" s="26" t="s">
        <v>1023</v>
      </c>
      <c r="D28" s="26" t="s">
        <v>1075</v>
      </c>
      <c r="E28" s="26" t="s">
        <v>1076</v>
      </c>
      <c r="F28" s="18"/>
      <c r="G28" s="18"/>
      <c r="H28" s="25" t="s">
        <v>91</v>
      </c>
      <c r="I28" s="31" t="s">
        <v>1079</v>
      </c>
      <c r="J28" s="31" t="s">
        <v>1081</v>
      </c>
      <c r="K28" s="31" t="s">
        <v>1083</v>
      </c>
      <c r="L28" s="31" t="s">
        <v>1085</v>
      </c>
      <c r="M28" s="31" t="s">
        <v>1087</v>
      </c>
      <c r="N28" s="32" t="s">
        <v>1089</v>
      </c>
      <c r="O28" s="25" t="s">
        <v>1093</v>
      </c>
      <c r="P28" s="25" t="s">
        <v>1095</v>
      </c>
      <c r="Q28" s="18"/>
      <c r="R28" s="26" t="s">
        <v>1096</v>
      </c>
      <c r="S28" s="18"/>
      <c r="T28" s="34" t="s">
        <v>1098</v>
      </c>
      <c r="U28" s="34" t="s">
        <v>1102</v>
      </c>
      <c r="V28" s="35" t="s">
        <v>1103</v>
      </c>
      <c r="W28" s="18"/>
      <c r="X28" s="26" t="s">
        <v>1044</v>
      </c>
    </row>
    <row r="29" ht="115.5" customHeight="1">
      <c r="A29" s="27" t="s">
        <v>1106</v>
      </c>
      <c r="B29" s="25" t="s">
        <v>1114</v>
      </c>
      <c r="C29" s="25" t="s">
        <v>1116</v>
      </c>
      <c r="D29" s="25" t="s">
        <v>610</v>
      </c>
      <c r="E29" s="25" t="s">
        <v>1118</v>
      </c>
      <c r="F29" s="29" t="s">
        <v>1119</v>
      </c>
      <c r="G29" s="29" t="s">
        <v>1122</v>
      </c>
      <c r="H29" s="25" t="s">
        <v>91</v>
      </c>
      <c r="I29" s="31" t="s">
        <v>1128</v>
      </c>
      <c r="J29" s="31" t="s">
        <v>1130</v>
      </c>
      <c r="K29" s="31" t="s">
        <v>1131</v>
      </c>
      <c r="L29" s="31" t="s">
        <v>1133</v>
      </c>
      <c r="M29" s="31" t="s">
        <v>1135</v>
      </c>
      <c r="N29" s="32" t="s">
        <v>1137</v>
      </c>
      <c r="O29" s="25" t="s">
        <v>1139</v>
      </c>
      <c r="P29" s="25" t="s">
        <v>1141</v>
      </c>
      <c r="Q29" s="29" t="s">
        <v>1144</v>
      </c>
      <c r="R29" s="25" t="s">
        <v>1147</v>
      </c>
      <c r="S29" s="29" t="s">
        <v>1148</v>
      </c>
      <c r="T29" s="34" t="s">
        <v>1154</v>
      </c>
      <c r="U29" s="34" t="s">
        <v>1162</v>
      </c>
      <c r="V29" s="35" t="s">
        <v>1165</v>
      </c>
      <c r="W29" s="29" t="s">
        <v>1167</v>
      </c>
      <c r="X29" s="36" t="s">
        <v>1173</v>
      </c>
    </row>
    <row r="30" ht="67.5" customHeight="1">
      <c r="A30" s="37"/>
      <c r="B30" s="25" t="s">
        <v>1114</v>
      </c>
      <c r="C30" s="25" t="s">
        <v>1116</v>
      </c>
      <c r="D30" s="25" t="s">
        <v>1177</v>
      </c>
      <c r="E30" s="25" t="s">
        <v>1179</v>
      </c>
      <c r="F30" s="37"/>
      <c r="G30" s="37"/>
      <c r="H30" s="25" t="s">
        <v>60</v>
      </c>
      <c r="I30" s="31" t="s">
        <v>1183</v>
      </c>
      <c r="J30" s="31" t="s">
        <v>1185</v>
      </c>
      <c r="K30" s="31" t="s">
        <v>1187</v>
      </c>
      <c r="L30" s="31" t="s">
        <v>1188</v>
      </c>
      <c r="M30" s="31" t="s">
        <v>1189</v>
      </c>
      <c r="N30" s="32" t="s">
        <v>1191</v>
      </c>
      <c r="O30" s="25" t="s">
        <v>1192</v>
      </c>
      <c r="P30" s="25" t="s">
        <v>1193</v>
      </c>
      <c r="Q30" s="37"/>
      <c r="R30" s="25" t="s">
        <v>1194</v>
      </c>
      <c r="S30" s="37"/>
      <c r="T30" s="34" t="s">
        <v>1196</v>
      </c>
      <c r="U30" s="34" t="s">
        <v>1202</v>
      </c>
      <c r="V30" s="35" t="s">
        <v>1203</v>
      </c>
      <c r="W30" s="37"/>
      <c r="X30" s="36" t="s">
        <v>1206</v>
      </c>
    </row>
    <row r="31" ht="61.5" customHeight="1">
      <c r="A31" s="37"/>
      <c r="B31" s="25" t="s">
        <v>1114</v>
      </c>
      <c r="C31" s="25" t="s">
        <v>1210</v>
      </c>
      <c r="D31" s="25" t="s">
        <v>1211</v>
      </c>
      <c r="E31" s="25" t="s">
        <v>1213</v>
      </c>
      <c r="F31" s="37"/>
      <c r="G31" s="37"/>
      <c r="H31" s="25" t="s">
        <v>23</v>
      </c>
      <c r="I31" s="31" t="s">
        <v>1217</v>
      </c>
      <c r="J31" s="31" t="s">
        <v>1218</v>
      </c>
      <c r="K31" s="31" t="s">
        <v>1219</v>
      </c>
      <c r="L31" s="31" t="s">
        <v>1221</v>
      </c>
      <c r="M31" s="31" t="s">
        <v>1222</v>
      </c>
      <c r="N31" s="32" t="s">
        <v>1223</v>
      </c>
      <c r="O31" s="25" t="s">
        <v>1224</v>
      </c>
      <c r="P31" s="25" t="s">
        <v>1225</v>
      </c>
      <c r="Q31" s="37"/>
      <c r="R31" s="25" t="s">
        <v>1226</v>
      </c>
      <c r="S31" s="37"/>
      <c r="T31" s="34" t="s">
        <v>1230</v>
      </c>
      <c r="U31" s="34" t="s">
        <v>1235</v>
      </c>
      <c r="V31" s="35" t="s">
        <v>1237</v>
      </c>
      <c r="W31" s="37"/>
      <c r="X31" s="36" t="s">
        <v>1240</v>
      </c>
    </row>
    <row r="32" ht="54.0" customHeight="1">
      <c r="A32" s="37"/>
      <c r="B32" s="25" t="s">
        <v>1114</v>
      </c>
      <c r="C32" s="25" t="s">
        <v>1210</v>
      </c>
      <c r="D32" s="25" t="s">
        <v>1245</v>
      </c>
      <c r="E32" s="25" t="s">
        <v>1246</v>
      </c>
      <c r="F32" s="37"/>
      <c r="G32" s="37"/>
      <c r="H32" s="25" t="s">
        <v>60</v>
      </c>
      <c r="I32" s="31" t="s">
        <v>1249</v>
      </c>
      <c r="J32" s="31" t="s">
        <v>1250</v>
      </c>
      <c r="K32" s="31" t="s">
        <v>1251</v>
      </c>
      <c r="L32" s="31" t="s">
        <v>1253</v>
      </c>
      <c r="M32" s="31" t="s">
        <v>1255</v>
      </c>
      <c r="N32" s="32" t="s">
        <v>1257</v>
      </c>
      <c r="O32" s="25" t="s">
        <v>1258</v>
      </c>
      <c r="P32" s="25" t="s">
        <v>1259</v>
      </c>
      <c r="Q32" s="37"/>
      <c r="R32" s="25" t="s">
        <v>1262</v>
      </c>
      <c r="S32" s="37"/>
      <c r="T32" s="34" t="s">
        <v>1265</v>
      </c>
      <c r="U32" s="34" t="s">
        <v>1272</v>
      </c>
      <c r="V32" s="35" t="s">
        <v>1274</v>
      </c>
      <c r="W32" s="37"/>
      <c r="X32" s="36" t="s">
        <v>1277</v>
      </c>
    </row>
    <row r="33" ht="63.0" customHeight="1">
      <c r="A33" s="37"/>
      <c r="B33" s="25" t="s">
        <v>1114</v>
      </c>
      <c r="C33" s="25" t="s">
        <v>1210</v>
      </c>
      <c r="D33" s="25" t="s">
        <v>1287</v>
      </c>
      <c r="E33" s="25" t="s">
        <v>1289</v>
      </c>
      <c r="F33" s="37"/>
      <c r="G33" s="37"/>
      <c r="H33" s="25" t="s">
        <v>91</v>
      </c>
      <c r="I33" s="31" t="s">
        <v>1294</v>
      </c>
      <c r="J33" s="31" t="s">
        <v>1295</v>
      </c>
      <c r="K33" s="31" t="s">
        <v>1297</v>
      </c>
      <c r="L33" s="31" t="s">
        <v>1300</v>
      </c>
      <c r="M33" s="31" t="s">
        <v>1301</v>
      </c>
      <c r="N33" s="32" t="s">
        <v>1303</v>
      </c>
      <c r="O33" s="25" t="s">
        <v>1304</v>
      </c>
      <c r="P33" s="25" t="s">
        <v>1305</v>
      </c>
      <c r="Q33" s="37"/>
      <c r="R33" s="25" t="s">
        <v>1307</v>
      </c>
      <c r="S33" s="37"/>
      <c r="T33" s="34" t="s">
        <v>1311</v>
      </c>
      <c r="U33" s="34" t="s">
        <v>1326</v>
      </c>
      <c r="V33" s="35" t="s">
        <v>1331</v>
      </c>
      <c r="W33" s="37"/>
      <c r="X33" s="36" t="s">
        <v>1335</v>
      </c>
    </row>
    <row r="34" ht="55.5" customHeight="1">
      <c r="A34" s="37"/>
      <c r="B34" s="25" t="s">
        <v>1114</v>
      </c>
      <c r="C34" s="25" t="s">
        <v>1339</v>
      </c>
      <c r="D34" s="25" t="s">
        <v>1341</v>
      </c>
      <c r="E34" s="25" t="s">
        <v>1342</v>
      </c>
      <c r="F34" s="37"/>
      <c r="G34" s="37"/>
      <c r="H34" s="25" t="s">
        <v>23</v>
      </c>
      <c r="I34" s="31" t="s">
        <v>1345</v>
      </c>
      <c r="J34" s="31" t="s">
        <v>1348</v>
      </c>
      <c r="K34" s="31" t="s">
        <v>1351</v>
      </c>
      <c r="L34" s="31" t="s">
        <v>1353</v>
      </c>
      <c r="M34" s="31" t="s">
        <v>1355</v>
      </c>
      <c r="N34" s="32" t="s">
        <v>1358</v>
      </c>
      <c r="O34" s="25" t="s">
        <v>1361</v>
      </c>
      <c r="P34" s="25" t="s">
        <v>1363</v>
      </c>
      <c r="Q34" s="37"/>
      <c r="R34" s="25" t="s">
        <v>1368</v>
      </c>
      <c r="S34" s="37"/>
      <c r="T34" s="34" t="s">
        <v>1375</v>
      </c>
      <c r="U34" s="34" t="s">
        <v>1382</v>
      </c>
      <c r="V34" s="35" t="s">
        <v>1383</v>
      </c>
      <c r="W34" s="37"/>
      <c r="X34" s="36" t="s">
        <v>1386</v>
      </c>
    </row>
    <row r="35" ht="60.0" customHeight="1">
      <c r="A35" s="37"/>
      <c r="B35" s="25" t="s">
        <v>1114</v>
      </c>
      <c r="C35" s="25" t="s">
        <v>1339</v>
      </c>
      <c r="D35" s="25" t="s">
        <v>1388</v>
      </c>
      <c r="E35" s="25" t="s">
        <v>1392</v>
      </c>
      <c r="F35" s="37"/>
      <c r="G35" s="37"/>
      <c r="H35" s="25" t="s">
        <v>60</v>
      </c>
      <c r="I35" s="31" t="s">
        <v>1396</v>
      </c>
      <c r="J35" s="31" t="s">
        <v>1398</v>
      </c>
      <c r="K35" s="31" t="s">
        <v>1401</v>
      </c>
      <c r="L35" s="31" t="s">
        <v>1403</v>
      </c>
      <c r="M35" s="31" t="s">
        <v>1406</v>
      </c>
      <c r="N35" s="32" t="s">
        <v>1408</v>
      </c>
      <c r="O35" s="25" t="s">
        <v>1411</v>
      </c>
      <c r="P35" s="25" t="s">
        <v>1412</v>
      </c>
      <c r="Q35" s="37"/>
      <c r="R35" s="25" t="s">
        <v>1414</v>
      </c>
      <c r="S35" s="37"/>
      <c r="T35" s="34" t="s">
        <v>1415</v>
      </c>
      <c r="U35" s="34" t="s">
        <v>1421</v>
      </c>
      <c r="V35" s="35" t="s">
        <v>1423</v>
      </c>
      <c r="W35" s="37"/>
      <c r="X35" s="36" t="s">
        <v>1426</v>
      </c>
    </row>
    <row r="36" ht="57.0" customHeight="1">
      <c r="A36" s="37"/>
      <c r="B36" s="25" t="s">
        <v>1114</v>
      </c>
      <c r="C36" s="25" t="s">
        <v>1339</v>
      </c>
      <c r="D36" s="25" t="s">
        <v>1427</v>
      </c>
      <c r="E36" s="25" t="s">
        <v>1428</v>
      </c>
      <c r="F36" s="37"/>
      <c r="G36" s="37"/>
      <c r="H36" s="25" t="s">
        <v>60</v>
      </c>
      <c r="I36" s="31" t="s">
        <v>1430</v>
      </c>
      <c r="J36" s="31" t="s">
        <v>1432</v>
      </c>
      <c r="K36" s="31" t="s">
        <v>1435</v>
      </c>
      <c r="L36" s="31" t="s">
        <v>1438</v>
      </c>
      <c r="M36" s="31" t="s">
        <v>1440</v>
      </c>
      <c r="N36" s="32" t="s">
        <v>1441</v>
      </c>
      <c r="O36" s="25" t="s">
        <v>1442</v>
      </c>
      <c r="P36" s="25" t="s">
        <v>1443</v>
      </c>
      <c r="Q36" s="37"/>
      <c r="R36" s="25" t="s">
        <v>1445</v>
      </c>
      <c r="S36" s="37"/>
      <c r="T36" s="34" t="s">
        <v>1446</v>
      </c>
      <c r="U36" s="34" t="s">
        <v>1457</v>
      </c>
      <c r="V36" s="35" t="s">
        <v>1458</v>
      </c>
      <c r="W36" s="37"/>
      <c r="X36" s="36" t="s">
        <v>1460</v>
      </c>
    </row>
    <row r="37" ht="58.5" customHeight="1">
      <c r="A37" s="37"/>
      <c r="B37" s="25" t="s">
        <v>1114</v>
      </c>
      <c r="C37" s="25" t="s">
        <v>1464</v>
      </c>
      <c r="D37" s="25" t="s">
        <v>1465</v>
      </c>
      <c r="E37" s="25" t="s">
        <v>1466</v>
      </c>
      <c r="F37" s="37"/>
      <c r="G37" s="37"/>
      <c r="H37" s="25" t="s">
        <v>23</v>
      </c>
      <c r="I37" s="31" t="s">
        <v>1472</v>
      </c>
      <c r="J37" s="31" t="s">
        <v>1474</v>
      </c>
      <c r="K37" s="31" t="s">
        <v>1475</v>
      </c>
      <c r="L37" s="31" t="s">
        <v>1476</v>
      </c>
      <c r="M37" s="31" t="s">
        <v>1478</v>
      </c>
      <c r="N37" s="32" t="s">
        <v>1480</v>
      </c>
      <c r="O37" s="25" t="s">
        <v>1482</v>
      </c>
      <c r="P37" s="25" t="s">
        <v>1484</v>
      </c>
      <c r="Q37" s="37"/>
      <c r="R37" s="25" t="s">
        <v>1486</v>
      </c>
      <c r="S37" s="37"/>
      <c r="T37" s="34" t="s">
        <v>1493</v>
      </c>
      <c r="U37" s="34" t="s">
        <v>1499</v>
      </c>
      <c r="V37" s="35" t="s">
        <v>1500</v>
      </c>
      <c r="W37" s="37"/>
      <c r="X37" s="36" t="s">
        <v>1501</v>
      </c>
    </row>
    <row r="38" ht="54.0" customHeight="1">
      <c r="A38" s="37"/>
      <c r="B38" s="25" t="s">
        <v>1114</v>
      </c>
      <c r="C38" s="25" t="s">
        <v>1464</v>
      </c>
      <c r="D38" s="25" t="s">
        <v>1502</v>
      </c>
      <c r="E38" s="25" t="s">
        <v>1504</v>
      </c>
      <c r="F38" s="37"/>
      <c r="G38" s="37"/>
      <c r="H38" s="25" t="s">
        <v>60</v>
      </c>
      <c r="I38" s="31" t="s">
        <v>1506</v>
      </c>
      <c r="J38" s="31" t="s">
        <v>1507</v>
      </c>
      <c r="K38" s="31" t="s">
        <v>1509</v>
      </c>
      <c r="L38" s="31" t="s">
        <v>1510</v>
      </c>
      <c r="M38" s="31" t="s">
        <v>1511</v>
      </c>
      <c r="N38" s="32" t="s">
        <v>1513</v>
      </c>
      <c r="O38" s="25" t="s">
        <v>1530</v>
      </c>
      <c r="P38" s="25" t="s">
        <v>1535</v>
      </c>
      <c r="Q38" s="37"/>
      <c r="R38" s="25" t="s">
        <v>1542</v>
      </c>
      <c r="S38" s="37"/>
      <c r="T38" s="34" t="s">
        <v>1546</v>
      </c>
      <c r="U38" s="34" t="s">
        <v>1553</v>
      </c>
      <c r="V38" s="35" t="s">
        <v>1556</v>
      </c>
      <c r="W38" s="37"/>
      <c r="X38" s="36" t="s">
        <v>1559</v>
      </c>
    </row>
    <row r="39" ht="48.0" customHeight="1">
      <c r="A39" s="37"/>
      <c r="B39" s="25" t="s">
        <v>1114</v>
      </c>
      <c r="C39" s="25" t="s">
        <v>1464</v>
      </c>
      <c r="D39" s="25" t="s">
        <v>1563</v>
      </c>
      <c r="E39" s="25" t="s">
        <v>1564</v>
      </c>
      <c r="F39" s="37"/>
      <c r="G39" s="37"/>
      <c r="H39" s="25" t="s">
        <v>23</v>
      </c>
      <c r="I39" s="31" t="s">
        <v>1566</v>
      </c>
      <c r="J39" s="31" t="s">
        <v>1569</v>
      </c>
      <c r="K39" s="31" t="s">
        <v>1571</v>
      </c>
      <c r="L39" s="31" t="s">
        <v>1573</v>
      </c>
      <c r="M39" s="31" t="s">
        <v>1574</v>
      </c>
      <c r="N39" s="32" t="s">
        <v>1577</v>
      </c>
      <c r="O39" s="25" t="s">
        <v>1579</v>
      </c>
      <c r="P39" s="25" t="s">
        <v>1581</v>
      </c>
      <c r="Q39" s="37"/>
      <c r="R39" s="25" t="s">
        <v>1583</v>
      </c>
      <c r="S39" s="37"/>
      <c r="T39" s="34" t="s">
        <v>1586</v>
      </c>
      <c r="U39" s="34" t="s">
        <v>1593</v>
      </c>
      <c r="V39" s="35" t="s">
        <v>1594</v>
      </c>
      <c r="W39" s="37"/>
      <c r="X39" s="36" t="s">
        <v>1596</v>
      </c>
    </row>
    <row r="40" ht="51.0" customHeight="1">
      <c r="A40" s="37"/>
      <c r="B40" s="25" t="s">
        <v>1114</v>
      </c>
      <c r="C40" s="25" t="s">
        <v>1597</v>
      </c>
      <c r="D40" s="25"/>
      <c r="E40" s="25" t="s">
        <v>1598</v>
      </c>
      <c r="F40" s="37"/>
      <c r="G40" s="37"/>
      <c r="H40" s="25" t="s">
        <v>23</v>
      </c>
      <c r="I40" s="31" t="s">
        <v>1600</v>
      </c>
      <c r="J40" s="31" t="s">
        <v>1602</v>
      </c>
      <c r="K40" s="31" t="s">
        <v>1603</v>
      </c>
      <c r="L40" s="31" t="s">
        <v>1604</v>
      </c>
      <c r="M40" s="31" t="s">
        <v>1605</v>
      </c>
      <c r="N40" s="32" t="s">
        <v>1607</v>
      </c>
      <c r="O40" s="25" t="s">
        <v>1609</v>
      </c>
      <c r="P40" s="25" t="s">
        <v>1611</v>
      </c>
      <c r="Q40" s="37"/>
      <c r="R40" s="25" t="s">
        <v>1612</v>
      </c>
      <c r="S40" s="37"/>
      <c r="T40" s="34" t="s">
        <v>1614</v>
      </c>
      <c r="U40" s="34" t="s">
        <v>1621</v>
      </c>
      <c r="V40" s="35" t="s">
        <v>1623</v>
      </c>
      <c r="W40" s="37"/>
      <c r="X40" s="36" t="s">
        <v>1625</v>
      </c>
    </row>
    <row r="41" ht="63.0" customHeight="1">
      <c r="A41" s="37"/>
      <c r="B41" s="25" t="s">
        <v>1114</v>
      </c>
      <c r="C41" s="25" t="s">
        <v>1597</v>
      </c>
      <c r="D41" s="25"/>
      <c r="E41" s="25" t="s">
        <v>1627</v>
      </c>
      <c r="F41" s="37"/>
      <c r="G41" s="37"/>
      <c r="H41" s="25" t="s">
        <v>60</v>
      </c>
      <c r="I41" s="31" t="s">
        <v>1628</v>
      </c>
      <c r="J41" s="31" t="s">
        <v>1629</v>
      </c>
      <c r="K41" s="31" t="s">
        <v>1630</v>
      </c>
      <c r="L41" s="31" t="s">
        <v>1631</v>
      </c>
      <c r="M41" s="31" t="s">
        <v>1640</v>
      </c>
      <c r="N41" s="32" t="s">
        <v>1641</v>
      </c>
      <c r="O41" s="25" t="s">
        <v>1642</v>
      </c>
      <c r="P41" s="25" t="s">
        <v>1644</v>
      </c>
      <c r="Q41" s="37"/>
      <c r="R41" s="25" t="s">
        <v>1645</v>
      </c>
      <c r="S41" s="37"/>
      <c r="T41" s="34" t="s">
        <v>1646</v>
      </c>
      <c r="U41" s="34" t="s">
        <v>1648</v>
      </c>
      <c r="V41" s="35" t="s">
        <v>1650</v>
      </c>
      <c r="W41" s="37"/>
      <c r="X41" s="36" t="s">
        <v>1652</v>
      </c>
    </row>
    <row r="42" ht="63.0" customHeight="1">
      <c r="A42" s="37"/>
      <c r="B42" s="25" t="s">
        <v>1114</v>
      </c>
      <c r="C42" s="25" t="s">
        <v>1597</v>
      </c>
      <c r="D42" s="25"/>
      <c r="E42" s="25" t="s">
        <v>1659</v>
      </c>
      <c r="F42" s="37"/>
      <c r="G42" s="37"/>
      <c r="H42" s="25" t="s">
        <v>23</v>
      </c>
      <c r="I42" s="31" t="s">
        <v>1661</v>
      </c>
      <c r="J42" s="31" t="s">
        <v>1662</v>
      </c>
      <c r="K42" s="31" t="s">
        <v>1664</v>
      </c>
      <c r="L42" s="31" t="s">
        <v>1665</v>
      </c>
      <c r="M42" s="31" t="s">
        <v>1666</v>
      </c>
      <c r="N42" s="32" t="s">
        <v>1667</v>
      </c>
      <c r="O42" s="25" t="s">
        <v>1668</v>
      </c>
      <c r="P42" s="25" t="s">
        <v>1669</v>
      </c>
      <c r="Q42" s="37"/>
      <c r="R42" s="25" t="s">
        <v>1671</v>
      </c>
      <c r="S42" s="37"/>
      <c r="T42" s="34" t="s">
        <v>1672</v>
      </c>
      <c r="U42" s="34" t="s">
        <v>1673</v>
      </c>
      <c r="V42" s="35" t="s">
        <v>1674</v>
      </c>
      <c r="W42" s="37"/>
      <c r="X42" s="36" t="s">
        <v>1675</v>
      </c>
    </row>
    <row r="43" ht="66.0" customHeight="1">
      <c r="A43" s="37"/>
      <c r="B43" s="25" t="s">
        <v>1114</v>
      </c>
      <c r="C43" s="25" t="s">
        <v>1677</v>
      </c>
      <c r="D43" s="25" t="s">
        <v>1678</v>
      </c>
      <c r="E43" s="25" t="s">
        <v>1680</v>
      </c>
      <c r="F43" s="37"/>
      <c r="G43" s="37"/>
      <c r="H43" s="25" t="s">
        <v>91</v>
      </c>
      <c r="I43" s="31" t="s">
        <v>1681</v>
      </c>
      <c r="J43" s="31" t="s">
        <v>1682</v>
      </c>
      <c r="K43" s="31" t="s">
        <v>1683</v>
      </c>
      <c r="L43" s="31" t="s">
        <v>1684</v>
      </c>
      <c r="M43" s="31" t="s">
        <v>1685</v>
      </c>
      <c r="N43" s="32" t="s">
        <v>1686</v>
      </c>
      <c r="O43" s="25" t="s">
        <v>1687</v>
      </c>
      <c r="P43" s="25" t="s">
        <v>1689</v>
      </c>
      <c r="Q43" s="37"/>
      <c r="R43" s="25" t="s">
        <v>1690</v>
      </c>
      <c r="S43" s="37"/>
      <c r="T43" s="34" t="s">
        <v>1691</v>
      </c>
      <c r="U43" s="34" t="s">
        <v>1693</v>
      </c>
      <c r="V43" s="35" t="s">
        <v>1695</v>
      </c>
      <c r="W43" s="37"/>
      <c r="X43" s="36" t="s">
        <v>1696</v>
      </c>
    </row>
    <row r="44" ht="58.5" customHeight="1">
      <c r="A44" s="37"/>
      <c r="B44" s="25" t="s">
        <v>1114</v>
      </c>
      <c r="C44" s="25"/>
      <c r="D44" s="25" t="s">
        <v>1698</v>
      </c>
      <c r="E44" s="25" t="s">
        <v>1700</v>
      </c>
      <c r="F44" s="37"/>
      <c r="G44" s="37"/>
      <c r="H44" s="25" t="s">
        <v>60</v>
      </c>
      <c r="I44" s="31" t="s">
        <v>1704</v>
      </c>
      <c r="J44" s="31" t="s">
        <v>1706</v>
      </c>
      <c r="K44" s="31" t="s">
        <v>1708</v>
      </c>
      <c r="L44" s="31" t="s">
        <v>1712</v>
      </c>
      <c r="M44" s="31" t="s">
        <v>1715</v>
      </c>
      <c r="N44" s="32" t="s">
        <v>1719</v>
      </c>
      <c r="O44" s="25" t="s">
        <v>1720</v>
      </c>
      <c r="P44" s="25" t="s">
        <v>1721</v>
      </c>
      <c r="Q44" s="37"/>
      <c r="R44" s="25" t="s">
        <v>1723</v>
      </c>
      <c r="S44" s="37"/>
      <c r="T44" s="34" t="s">
        <v>1726</v>
      </c>
      <c r="U44" s="34" t="s">
        <v>1733</v>
      </c>
      <c r="V44" s="35" t="s">
        <v>1735</v>
      </c>
      <c r="W44" s="37"/>
      <c r="X44" s="36" t="s">
        <v>1736</v>
      </c>
    </row>
    <row r="45" ht="55.5" customHeight="1">
      <c r="A45" s="18"/>
      <c r="B45" s="25" t="s">
        <v>1114</v>
      </c>
      <c r="C45" s="25" t="s">
        <v>1738</v>
      </c>
      <c r="D45" s="25" t="s">
        <v>1739</v>
      </c>
      <c r="E45" s="25" t="s">
        <v>1740</v>
      </c>
      <c r="F45" s="18"/>
      <c r="G45" s="18"/>
      <c r="H45" s="25" t="s">
        <v>91</v>
      </c>
      <c r="I45" s="31" t="s">
        <v>1741</v>
      </c>
      <c r="J45" s="31" t="s">
        <v>1742</v>
      </c>
      <c r="K45" s="31" t="s">
        <v>1744</v>
      </c>
      <c r="L45" s="31" t="s">
        <v>1745</v>
      </c>
      <c r="M45" s="31" t="s">
        <v>1747</v>
      </c>
      <c r="N45" s="32" t="s">
        <v>1750</v>
      </c>
      <c r="O45" s="25" t="s">
        <v>1752</v>
      </c>
      <c r="P45" s="25" t="s">
        <v>1755</v>
      </c>
      <c r="Q45" s="18"/>
      <c r="R45" s="25" t="s">
        <v>1759</v>
      </c>
      <c r="S45" s="18"/>
      <c r="T45" s="34" t="s">
        <v>1762</v>
      </c>
      <c r="U45" s="34" t="s">
        <v>1765</v>
      </c>
      <c r="V45" s="35" t="s">
        <v>1766</v>
      </c>
      <c r="W45" s="18"/>
      <c r="X45" s="36" t="s">
        <v>1768</v>
      </c>
    </row>
    <row r="46" ht="106.5" customHeight="1">
      <c r="A46" s="27" t="s">
        <v>1422</v>
      </c>
      <c r="B46" s="25" t="s">
        <v>1776</v>
      </c>
      <c r="C46" s="25" t="s">
        <v>1778</v>
      </c>
      <c r="D46" s="25" t="s">
        <v>1779</v>
      </c>
      <c r="E46" s="25" t="s">
        <v>1781</v>
      </c>
      <c r="F46" s="29" t="s">
        <v>1783</v>
      </c>
      <c r="G46" s="29" t="s">
        <v>1793</v>
      </c>
      <c r="H46" s="25" t="s">
        <v>23</v>
      </c>
      <c r="I46" s="31" t="s">
        <v>1795</v>
      </c>
      <c r="J46" s="31" t="s">
        <v>1797</v>
      </c>
      <c r="K46" s="31" t="s">
        <v>1799</v>
      </c>
      <c r="L46" s="31" t="s">
        <v>1800</v>
      </c>
      <c r="M46" s="31" t="s">
        <v>1802</v>
      </c>
      <c r="N46" s="32" t="s">
        <v>1803</v>
      </c>
      <c r="O46" s="25" t="s">
        <v>1805</v>
      </c>
      <c r="P46" s="25" t="s">
        <v>1807</v>
      </c>
      <c r="Q46" s="29" t="s">
        <v>1810</v>
      </c>
      <c r="R46" s="25" t="s">
        <v>1814</v>
      </c>
      <c r="S46" s="29" t="s">
        <v>1815</v>
      </c>
      <c r="T46" s="34" t="s">
        <v>1822</v>
      </c>
      <c r="U46" s="34" t="s">
        <v>1829</v>
      </c>
      <c r="V46" s="35" t="s">
        <v>1830</v>
      </c>
      <c r="W46" s="29" t="s">
        <v>1832</v>
      </c>
      <c r="X46" s="36" t="s">
        <v>1841</v>
      </c>
    </row>
    <row r="47" ht="57.0" customHeight="1">
      <c r="A47" s="37"/>
      <c r="B47" s="25" t="s">
        <v>1776</v>
      </c>
      <c r="C47" s="25" t="s">
        <v>1778</v>
      </c>
      <c r="D47" s="25" t="s">
        <v>1842</v>
      </c>
      <c r="E47" s="25" t="s">
        <v>1843</v>
      </c>
      <c r="F47" s="37"/>
      <c r="G47" s="37"/>
      <c r="H47" s="25" t="s">
        <v>60</v>
      </c>
      <c r="I47" s="31" t="s">
        <v>1855</v>
      </c>
      <c r="J47" s="31" t="s">
        <v>1857</v>
      </c>
      <c r="K47" s="31" t="s">
        <v>1859</v>
      </c>
      <c r="L47" s="31" t="s">
        <v>1861</v>
      </c>
      <c r="M47" s="31" t="s">
        <v>1863</v>
      </c>
      <c r="N47" s="32" t="s">
        <v>1864</v>
      </c>
      <c r="O47" s="25" t="s">
        <v>1866</v>
      </c>
      <c r="P47" s="25" t="s">
        <v>1867</v>
      </c>
      <c r="Q47" s="37"/>
      <c r="R47" s="25" t="s">
        <v>1869</v>
      </c>
      <c r="S47" s="37"/>
      <c r="T47" s="34" t="s">
        <v>1870</v>
      </c>
      <c r="U47" s="34" t="s">
        <v>1877</v>
      </c>
      <c r="V47" s="35" t="s">
        <v>1879</v>
      </c>
      <c r="W47" s="37"/>
      <c r="X47" s="36" t="s">
        <v>1881</v>
      </c>
    </row>
    <row r="48" ht="51.0" customHeight="1">
      <c r="A48" s="37"/>
      <c r="B48" s="25" t="s">
        <v>1776</v>
      </c>
      <c r="C48" s="25" t="s">
        <v>1778</v>
      </c>
      <c r="D48" s="25" t="s">
        <v>1884</v>
      </c>
      <c r="E48" s="25" t="s">
        <v>1885</v>
      </c>
      <c r="F48" s="37"/>
      <c r="G48" s="37"/>
      <c r="H48" s="25" t="s">
        <v>91</v>
      </c>
      <c r="I48" s="31" t="s">
        <v>1889</v>
      </c>
      <c r="J48" s="31" t="s">
        <v>1891</v>
      </c>
      <c r="K48" s="31" t="s">
        <v>1893</v>
      </c>
      <c r="L48" s="31" t="s">
        <v>1894</v>
      </c>
      <c r="M48" s="31" t="s">
        <v>1896</v>
      </c>
      <c r="N48" s="32" t="s">
        <v>1897</v>
      </c>
      <c r="O48" s="25" t="s">
        <v>1899</v>
      </c>
      <c r="P48" s="25" t="s">
        <v>1901</v>
      </c>
      <c r="Q48" s="37"/>
      <c r="R48" s="25" t="s">
        <v>1902</v>
      </c>
      <c r="S48" s="37"/>
      <c r="T48" s="34" t="s">
        <v>1905</v>
      </c>
      <c r="U48" s="34" t="s">
        <v>1906</v>
      </c>
      <c r="V48" s="35" t="s">
        <v>1909</v>
      </c>
      <c r="W48" s="37"/>
      <c r="X48" s="36" t="s">
        <v>1910</v>
      </c>
    </row>
    <row r="49" ht="52.5" customHeight="1">
      <c r="A49" s="37"/>
      <c r="B49" s="25" t="s">
        <v>1776</v>
      </c>
      <c r="C49" s="25" t="s">
        <v>1913</v>
      </c>
      <c r="D49" s="25" t="s">
        <v>1914</v>
      </c>
      <c r="E49" s="25" t="s">
        <v>1915</v>
      </c>
      <c r="F49" s="37"/>
      <c r="G49" s="37"/>
      <c r="H49" s="25" t="s">
        <v>23</v>
      </c>
      <c r="I49" s="31" t="s">
        <v>1917</v>
      </c>
      <c r="J49" s="31" t="s">
        <v>1919</v>
      </c>
      <c r="K49" s="31" t="s">
        <v>1921</v>
      </c>
      <c r="L49" s="31" t="s">
        <v>1923</v>
      </c>
      <c r="M49" s="31" t="s">
        <v>1924</v>
      </c>
      <c r="N49" s="32" t="s">
        <v>1926</v>
      </c>
      <c r="O49" s="25" t="s">
        <v>1928</v>
      </c>
      <c r="P49" s="25" t="s">
        <v>1929</v>
      </c>
      <c r="Q49" s="37"/>
      <c r="R49" s="25" t="s">
        <v>1930</v>
      </c>
      <c r="S49" s="37"/>
      <c r="T49" s="34" t="s">
        <v>1932</v>
      </c>
      <c r="U49" s="34" t="s">
        <v>1935</v>
      </c>
      <c r="V49" s="35" t="s">
        <v>1938</v>
      </c>
      <c r="W49" s="37"/>
      <c r="X49" s="36" t="s">
        <v>1940</v>
      </c>
    </row>
    <row r="50" ht="67.5" customHeight="1">
      <c r="A50" s="37"/>
      <c r="B50" s="25" t="s">
        <v>1776</v>
      </c>
      <c r="C50" s="25" t="s">
        <v>1913</v>
      </c>
      <c r="D50" s="25" t="s">
        <v>1944</v>
      </c>
      <c r="E50" s="25" t="s">
        <v>1946</v>
      </c>
      <c r="F50" s="37"/>
      <c r="G50" s="37"/>
      <c r="H50" s="25" t="s">
        <v>60</v>
      </c>
      <c r="I50" s="31" t="s">
        <v>1947</v>
      </c>
      <c r="J50" s="31" t="s">
        <v>1948</v>
      </c>
      <c r="K50" s="31" t="s">
        <v>1950</v>
      </c>
      <c r="L50" s="31" t="s">
        <v>1952</v>
      </c>
      <c r="M50" s="31" t="s">
        <v>1954</v>
      </c>
      <c r="N50" s="32" t="s">
        <v>1955</v>
      </c>
      <c r="O50" s="25" t="s">
        <v>1956</v>
      </c>
      <c r="P50" s="25" t="s">
        <v>1957</v>
      </c>
      <c r="Q50" s="37"/>
      <c r="R50" s="25" t="s">
        <v>1958</v>
      </c>
      <c r="S50" s="37"/>
      <c r="T50" s="34" t="s">
        <v>1960</v>
      </c>
      <c r="U50" s="34" t="s">
        <v>1961</v>
      </c>
      <c r="V50" s="35" t="s">
        <v>1962</v>
      </c>
      <c r="W50" s="37"/>
      <c r="X50" s="36" t="s">
        <v>1963</v>
      </c>
    </row>
    <row r="51" ht="60.0" customHeight="1">
      <c r="A51" s="37"/>
      <c r="B51" s="25" t="s">
        <v>1776</v>
      </c>
      <c r="C51" s="25" t="s">
        <v>1913</v>
      </c>
      <c r="D51" s="25" t="s">
        <v>1966</v>
      </c>
      <c r="E51" s="25" t="s">
        <v>1967</v>
      </c>
      <c r="F51" s="37"/>
      <c r="G51" s="37"/>
      <c r="H51" s="25" t="s">
        <v>23</v>
      </c>
      <c r="I51" s="31" t="s">
        <v>1969</v>
      </c>
      <c r="J51" s="31" t="s">
        <v>1970</v>
      </c>
      <c r="K51" s="31" t="s">
        <v>1971</v>
      </c>
      <c r="L51" s="31" t="s">
        <v>1973</v>
      </c>
      <c r="M51" s="31" t="s">
        <v>1974</v>
      </c>
      <c r="N51" s="32" t="s">
        <v>1975</v>
      </c>
      <c r="O51" s="25" t="s">
        <v>1976</v>
      </c>
      <c r="P51" s="25" t="s">
        <v>1977</v>
      </c>
      <c r="Q51" s="37"/>
      <c r="R51" s="25" t="s">
        <v>1978</v>
      </c>
      <c r="S51" s="37"/>
      <c r="T51" s="34" t="s">
        <v>1981</v>
      </c>
      <c r="U51" s="34" t="s">
        <v>1986</v>
      </c>
      <c r="V51" s="35" t="s">
        <v>1989</v>
      </c>
      <c r="W51" s="37"/>
      <c r="X51" s="36" t="s">
        <v>1992</v>
      </c>
    </row>
    <row r="52" ht="57.0" customHeight="1">
      <c r="A52" s="37"/>
      <c r="B52" s="25" t="s">
        <v>1776</v>
      </c>
      <c r="C52" s="25" t="s">
        <v>1995</v>
      </c>
      <c r="D52" s="25" t="s">
        <v>1996</v>
      </c>
      <c r="E52" s="25" t="s">
        <v>1998</v>
      </c>
      <c r="F52" s="37"/>
      <c r="G52" s="37"/>
      <c r="H52" s="25" t="s">
        <v>23</v>
      </c>
      <c r="I52" s="31" t="s">
        <v>1999</v>
      </c>
      <c r="J52" s="31" t="s">
        <v>2000</v>
      </c>
      <c r="K52" s="31" t="s">
        <v>2002</v>
      </c>
      <c r="L52" s="31" t="s">
        <v>2003</v>
      </c>
      <c r="M52" s="31" t="s">
        <v>2005</v>
      </c>
      <c r="N52" s="32" t="s">
        <v>2007</v>
      </c>
      <c r="O52" s="25" t="s">
        <v>2008</v>
      </c>
      <c r="P52" s="25" t="s">
        <v>2010</v>
      </c>
      <c r="Q52" s="37"/>
      <c r="R52" s="25" t="s">
        <v>2012</v>
      </c>
      <c r="S52" s="37"/>
      <c r="T52" s="34" t="s">
        <v>2014</v>
      </c>
      <c r="U52" s="34" t="s">
        <v>2021</v>
      </c>
      <c r="V52" s="35" t="s">
        <v>2025</v>
      </c>
      <c r="W52" s="37"/>
      <c r="X52" s="36" t="s">
        <v>2027</v>
      </c>
    </row>
    <row r="53" ht="75.0" customHeight="1">
      <c r="A53" s="37"/>
      <c r="B53" s="25" t="s">
        <v>1776</v>
      </c>
      <c r="C53" s="25" t="s">
        <v>1995</v>
      </c>
      <c r="D53" s="25" t="s">
        <v>2029</v>
      </c>
      <c r="E53" s="25" t="s">
        <v>2030</v>
      </c>
      <c r="F53" s="37"/>
      <c r="G53" s="37"/>
      <c r="H53" s="25" t="s">
        <v>23</v>
      </c>
      <c r="I53" s="31" t="s">
        <v>2031</v>
      </c>
      <c r="J53" s="31" t="s">
        <v>2032</v>
      </c>
      <c r="K53" s="31" t="s">
        <v>2034</v>
      </c>
      <c r="L53" s="31" t="s">
        <v>2036</v>
      </c>
      <c r="M53" s="31" t="s">
        <v>2037</v>
      </c>
      <c r="N53" s="32" t="s">
        <v>2038</v>
      </c>
      <c r="O53" s="25" t="s">
        <v>2039</v>
      </c>
      <c r="P53" s="25" t="s">
        <v>2042</v>
      </c>
      <c r="Q53" s="37"/>
      <c r="R53" s="25" t="s">
        <v>2045</v>
      </c>
      <c r="S53" s="37"/>
      <c r="T53" s="34" t="s">
        <v>2046</v>
      </c>
      <c r="U53" s="34" t="s">
        <v>2048</v>
      </c>
      <c r="V53" s="35" t="s">
        <v>2050</v>
      </c>
      <c r="W53" s="37"/>
      <c r="X53" s="36" t="s">
        <v>2053</v>
      </c>
    </row>
    <row r="54" ht="52.5" customHeight="1">
      <c r="A54" s="37"/>
      <c r="B54" s="25" t="s">
        <v>1776</v>
      </c>
      <c r="C54" s="25" t="s">
        <v>2058</v>
      </c>
      <c r="D54" s="25" t="s">
        <v>2059</v>
      </c>
      <c r="E54" s="25" t="s">
        <v>2061</v>
      </c>
      <c r="F54" s="37"/>
      <c r="G54" s="37"/>
      <c r="H54" s="25" t="s">
        <v>23</v>
      </c>
      <c r="I54" s="31" t="s">
        <v>2063</v>
      </c>
      <c r="J54" s="31" t="s">
        <v>2064</v>
      </c>
      <c r="K54" s="31" t="s">
        <v>2065</v>
      </c>
      <c r="L54" s="31" t="s">
        <v>2068</v>
      </c>
      <c r="M54" s="31" t="s">
        <v>2069</v>
      </c>
      <c r="N54" s="32" t="s">
        <v>2071</v>
      </c>
      <c r="O54" s="25" t="s">
        <v>2072</v>
      </c>
      <c r="P54" s="25" t="s">
        <v>2073</v>
      </c>
      <c r="Q54" s="37"/>
      <c r="R54" s="25" t="s">
        <v>2075</v>
      </c>
      <c r="S54" s="37"/>
      <c r="T54" s="34" t="s">
        <v>2078</v>
      </c>
      <c r="U54" s="34" t="s">
        <v>2087</v>
      </c>
      <c r="V54" s="35" t="s">
        <v>2089</v>
      </c>
      <c r="W54" s="37"/>
      <c r="X54" s="36" t="s">
        <v>2090</v>
      </c>
    </row>
    <row r="55" ht="58.5" customHeight="1">
      <c r="A55" s="37"/>
      <c r="B55" s="25" t="s">
        <v>1776</v>
      </c>
      <c r="C55" s="25" t="s">
        <v>2058</v>
      </c>
      <c r="D55" s="25" t="s">
        <v>2093</v>
      </c>
      <c r="E55" s="25" t="s">
        <v>2095</v>
      </c>
      <c r="F55" s="37"/>
      <c r="G55" s="37"/>
      <c r="H55" s="25" t="s">
        <v>91</v>
      </c>
      <c r="I55" s="31" t="s">
        <v>2097</v>
      </c>
      <c r="J55" s="31" t="s">
        <v>2098</v>
      </c>
      <c r="K55" s="31" t="s">
        <v>2100</v>
      </c>
      <c r="L55" s="31" t="s">
        <v>2102</v>
      </c>
      <c r="M55" s="31" t="s">
        <v>2104</v>
      </c>
      <c r="N55" s="32" t="s">
        <v>2105</v>
      </c>
      <c r="O55" s="25" t="s">
        <v>2106</v>
      </c>
      <c r="P55" s="25" t="s">
        <v>2108</v>
      </c>
      <c r="Q55" s="37"/>
      <c r="R55" s="25" t="s">
        <v>2112</v>
      </c>
      <c r="S55" s="37"/>
      <c r="T55" s="34" t="s">
        <v>2117</v>
      </c>
      <c r="U55" s="34" t="s">
        <v>2121</v>
      </c>
      <c r="V55" s="35" t="s">
        <v>2122</v>
      </c>
      <c r="W55" s="37"/>
      <c r="X55" s="36" t="s">
        <v>2124</v>
      </c>
    </row>
    <row r="56" ht="57.0" customHeight="1">
      <c r="A56" s="37"/>
      <c r="B56" s="25" t="s">
        <v>1776</v>
      </c>
      <c r="C56" s="25" t="s">
        <v>2126</v>
      </c>
      <c r="D56" s="25" t="s">
        <v>2127</v>
      </c>
      <c r="E56" s="25" t="s">
        <v>2128</v>
      </c>
      <c r="F56" s="37"/>
      <c r="G56" s="37"/>
      <c r="H56" s="25" t="s">
        <v>60</v>
      </c>
      <c r="I56" s="31" t="s">
        <v>2131</v>
      </c>
      <c r="J56" s="31" t="s">
        <v>2132</v>
      </c>
      <c r="K56" s="31" t="s">
        <v>2133</v>
      </c>
      <c r="L56" s="31" t="s">
        <v>2134</v>
      </c>
      <c r="M56" s="31" t="s">
        <v>2135</v>
      </c>
      <c r="N56" s="32" t="s">
        <v>2136</v>
      </c>
      <c r="O56" s="25" t="s">
        <v>2137</v>
      </c>
      <c r="P56" s="25" t="s">
        <v>2138</v>
      </c>
      <c r="Q56" s="37"/>
      <c r="R56" s="25" t="s">
        <v>2140</v>
      </c>
      <c r="S56" s="37"/>
      <c r="T56" s="34" t="s">
        <v>2141</v>
      </c>
      <c r="U56" s="34" t="s">
        <v>2144</v>
      </c>
      <c r="V56" s="35" t="s">
        <v>2145</v>
      </c>
      <c r="W56" s="37"/>
      <c r="X56" s="36" t="s">
        <v>2146</v>
      </c>
    </row>
    <row r="57" ht="58.5" customHeight="1">
      <c r="A57" s="18"/>
      <c r="B57" s="25" t="s">
        <v>1776</v>
      </c>
      <c r="C57" s="25" t="s">
        <v>2126</v>
      </c>
      <c r="D57" s="25" t="s">
        <v>2149</v>
      </c>
      <c r="E57" s="25" t="s">
        <v>2150</v>
      </c>
      <c r="F57" s="18"/>
      <c r="G57" s="18"/>
      <c r="H57" s="25" t="s">
        <v>91</v>
      </c>
      <c r="I57" s="31" t="s">
        <v>2153</v>
      </c>
      <c r="J57" s="31" t="s">
        <v>2154</v>
      </c>
      <c r="K57" s="31" t="s">
        <v>2155</v>
      </c>
      <c r="L57" s="31" t="s">
        <v>2156</v>
      </c>
      <c r="M57" s="31" t="s">
        <v>2157</v>
      </c>
      <c r="N57" s="32" t="s">
        <v>2158</v>
      </c>
      <c r="O57" s="25" t="s">
        <v>2160</v>
      </c>
      <c r="P57" s="25" t="s">
        <v>2161</v>
      </c>
      <c r="Q57" s="18"/>
      <c r="R57" s="25" t="s">
        <v>2162</v>
      </c>
      <c r="S57" s="18"/>
      <c r="T57" s="34" t="s">
        <v>2164</v>
      </c>
      <c r="U57" s="34" t="s">
        <v>2166</v>
      </c>
      <c r="V57" s="35" t="s">
        <v>2167</v>
      </c>
      <c r="W57" s="18"/>
      <c r="X57" s="36" t="s">
        <v>2168</v>
      </c>
    </row>
    <row r="58" ht="55.5" customHeight="1">
      <c r="A58" s="27"/>
      <c r="B58" s="25" t="s">
        <v>2170</v>
      </c>
      <c r="C58" s="25" t="s">
        <v>2171</v>
      </c>
      <c r="D58" s="25" t="s">
        <v>2172</v>
      </c>
      <c r="E58" s="25" t="s">
        <v>2173</v>
      </c>
      <c r="F58" s="29"/>
      <c r="G58" s="29"/>
      <c r="H58" s="25" t="s">
        <v>60</v>
      </c>
      <c r="I58" s="31" t="s">
        <v>2175</v>
      </c>
      <c r="J58" s="31" t="s">
        <v>2176</v>
      </c>
      <c r="K58" s="31" t="s">
        <v>2177</v>
      </c>
      <c r="L58" s="31" t="s">
        <v>2178</v>
      </c>
      <c r="M58" s="31" t="s">
        <v>2179</v>
      </c>
      <c r="N58" s="32" t="s">
        <v>2180</v>
      </c>
      <c r="O58" s="25" t="s">
        <v>2181</v>
      </c>
      <c r="P58" s="25" t="s">
        <v>2183</v>
      </c>
      <c r="Q58" s="29"/>
      <c r="R58" s="25" t="s">
        <v>2184</v>
      </c>
      <c r="S58" s="29"/>
      <c r="T58" s="34" t="s">
        <v>2186</v>
      </c>
      <c r="U58" s="34" t="s">
        <v>2187</v>
      </c>
      <c r="V58" s="35" t="s">
        <v>2188</v>
      </c>
      <c r="W58" s="29"/>
      <c r="X58" s="36" t="s">
        <v>2189</v>
      </c>
    </row>
    <row r="59" ht="55.5" customHeight="1">
      <c r="A59" s="37"/>
      <c r="B59" s="25" t="s">
        <v>2170</v>
      </c>
      <c r="C59" s="25" t="s">
        <v>2171</v>
      </c>
      <c r="D59" s="25" t="s">
        <v>2190</v>
      </c>
      <c r="E59" s="25" t="s">
        <v>2191</v>
      </c>
      <c r="F59" s="37"/>
      <c r="G59" s="37"/>
      <c r="H59" s="25" t="s">
        <v>23</v>
      </c>
      <c r="I59" s="31" t="s">
        <v>2192</v>
      </c>
      <c r="J59" s="31" t="s">
        <v>2193</v>
      </c>
      <c r="K59" s="31" t="s">
        <v>2194</v>
      </c>
      <c r="L59" s="31" t="s">
        <v>2195</v>
      </c>
      <c r="M59" s="31" t="s">
        <v>2196</v>
      </c>
      <c r="N59" s="32" t="s">
        <v>2197</v>
      </c>
      <c r="O59" s="25" t="s">
        <v>2198</v>
      </c>
      <c r="P59" s="25" t="s">
        <v>2199</v>
      </c>
      <c r="Q59" s="37"/>
      <c r="R59" s="25" t="s">
        <v>2201</v>
      </c>
      <c r="S59" s="37"/>
      <c r="T59" s="34" t="s">
        <v>2202</v>
      </c>
      <c r="U59" s="34" t="s">
        <v>2203</v>
      </c>
      <c r="V59" s="35" t="s">
        <v>2204</v>
      </c>
      <c r="W59" s="37"/>
      <c r="X59" s="36" t="s">
        <v>2205</v>
      </c>
    </row>
    <row r="60" ht="55.5" customHeight="1">
      <c r="A60" s="37"/>
      <c r="B60" s="25" t="s">
        <v>2170</v>
      </c>
      <c r="C60" s="25" t="s">
        <v>2206</v>
      </c>
      <c r="D60" s="25" t="s">
        <v>2207</v>
      </c>
      <c r="E60" s="25" t="s">
        <v>2208</v>
      </c>
      <c r="F60" s="37"/>
      <c r="G60" s="37"/>
      <c r="H60" s="25" t="s">
        <v>23</v>
      </c>
      <c r="I60" s="31" t="s">
        <v>2209</v>
      </c>
      <c r="J60" s="31" t="s">
        <v>2210</v>
      </c>
      <c r="K60" s="31" t="s">
        <v>2211</v>
      </c>
      <c r="L60" s="31" t="s">
        <v>2213</v>
      </c>
      <c r="M60" s="31" t="s">
        <v>2214</v>
      </c>
      <c r="N60" s="32" t="s">
        <v>2215</v>
      </c>
      <c r="O60" s="25" t="s">
        <v>2216</v>
      </c>
      <c r="P60" s="25" t="s">
        <v>2217</v>
      </c>
      <c r="Q60" s="37"/>
      <c r="R60" s="25" t="s">
        <v>2218</v>
      </c>
      <c r="S60" s="37"/>
      <c r="T60" s="34" t="s">
        <v>2220</v>
      </c>
      <c r="U60" s="34" t="s">
        <v>2224</v>
      </c>
      <c r="V60" s="35" t="s">
        <v>2225</v>
      </c>
      <c r="W60" s="37"/>
      <c r="X60" s="36" t="s">
        <v>2226</v>
      </c>
    </row>
    <row r="61" ht="57.0" customHeight="1">
      <c r="A61" s="37"/>
      <c r="B61" s="25" t="s">
        <v>2170</v>
      </c>
      <c r="C61" s="25" t="s">
        <v>2206</v>
      </c>
      <c r="D61" s="25" t="s">
        <v>2230</v>
      </c>
      <c r="E61" s="25" t="s">
        <v>2231</v>
      </c>
      <c r="F61" s="37"/>
      <c r="G61" s="37"/>
      <c r="H61" s="25" t="s">
        <v>23</v>
      </c>
      <c r="I61" s="31" t="s">
        <v>2233</v>
      </c>
      <c r="J61" s="31" t="s">
        <v>2234</v>
      </c>
      <c r="K61" s="31" t="s">
        <v>2235</v>
      </c>
      <c r="L61" s="31" t="s">
        <v>2236</v>
      </c>
      <c r="M61" s="31" t="s">
        <v>2238</v>
      </c>
      <c r="N61" s="32" t="s">
        <v>2241</v>
      </c>
      <c r="O61" s="25" t="s">
        <v>2242</v>
      </c>
      <c r="P61" s="25" t="s">
        <v>2244</v>
      </c>
      <c r="Q61" s="37"/>
      <c r="R61" s="25" t="s">
        <v>2245</v>
      </c>
      <c r="S61" s="37"/>
      <c r="T61" s="34" t="s">
        <v>2246</v>
      </c>
      <c r="U61" s="34" t="s">
        <v>2250</v>
      </c>
      <c r="V61" s="35" t="s">
        <v>2251</v>
      </c>
      <c r="W61" s="37"/>
      <c r="X61" s="36" t="s">
        <v>2252</v>
      </c>
    </row>
    <row r="62" ht="51.0" customHeight="1">
      <c r="A62" s="37"/>
      <c r="B62" s="25" t="s">
        <v>2170</v>
      </c>
      <c r="C62" s="25" t="s">
        <v>2253</v>
      </c>
      <c r="D62" s="25" t="s">
        <v>2254</v>
      </c>
      <c r="E62" s="25" t="s">
        <v>2255</v>
      </c>
      <c r="F62" s="37"/>
      <c r="G62" s="37"/>
      <c r="H62" s="25" t="s">
        <v>60</v>
      </c>
      <c r="I62" s="31" t="s">
        <v>2256</v>
      </c>
      <c r="J62" s="31" t="s">
        <v>2257</v>
      </c>
      <c r="K62" s="31" t="s">
        <v>2258</v>
      </c>
      <c r="L62" s="31" t="s">
        <v>2260</v>
      </c>
      <c r="M62" s="31" t="s">
        <v>2261</v>
      </c>
      <c r="N62" s="32" t="s">
        <v>2262</v>
      </c>
      <c r="O62" s="25" t="s">
        <v>2263</v>
      </c>
      <c r="P62" s="25" t="s">
        <v>2264</v>
      </c>
      <c r="Q62" s="37"/>
      <c r="R62" s="25" t="s">
        <v>2265</v>
      </c>
      <c r="S62" s="37"/>
      <c r="T62" s="34" t="s">
        <v>2267</v>
      </c>
      <c r="U62" s="34" t="s">
        <v>2268</v>
      </c>
      <c r="V62" s="35" t="s">
        <v>2269</v>
      </c>
      <c r="W62" s="37"/>
      <c r="X62" s="36" t="s">
        <v>2271</v>
      </c>
    </row>
    <row r="63" ht="63.0" customHeight="1">
      <c r="A63" s="37"/>
      <c r="B63" s="25" t="s">
        <v>2170</v>
      </c>
      <c r="C63" s="25" t="s">
        <v>2253</v>
      </c>
      <c r="D63" s="25" t="s">
        <v>2272</v>
      </c>
      <c r="E63" s="25" t="s">
        <v>2273</v>
      </c>
      <c r="F63" s="37"/>
      <c r="G63" s="37"/>
      <c r="H63" s="25" t="s">
        <v>60</v>
      </c>
      <c r="I63" s="31" t="s">
        <v>2275</v>
      </c>
      <c r="J63" s="31" t="s">
        <v>2276</v>
      </c>
      <c r="K63" s="31" t="s">
        <v>2277</v>
      </c>
      <c r="L63" s="31" t="s">
        <v>2278</v>
      </c>
      <c r="M63" s="31" t="s">
        <v>2279</v>
      </c>
      <c r="N63" s="32" t="s">
        <v>2280</v>
      </c>
      <c r="O63" s="25" t="s">
        <v>2281</v>
      </c>
      <c r="P63" s="25" t="s">
        <v>2282</v>
      </c>
      <c r="Q63" s="37"/>
      <c r="R63" s="25" t="s">
        <v>2283</v>
      </c>
      <c r="S63" s="37"/>
      <c r="T63" s="34" t="s">
        <v>2285</v>
      </c>
      <c r="U63" s="34" t="s">
        <v>2286</v>
      </c>
      <c r="V63" s="35" t="s">
        <v>2287</v>
      </c>
      <c r="W63" s="37"/>
      <c r="X63" s="36" t="s">
        <v>2288</v>
      </c>
    </row>
    <row r="64" ht="67.5" customHeight="1">
      <c r="A64" s="37"/>
      <c r="B64" s="25" t="s">
        <v>2170</v>
      </c>
      <c r="C64" s="25" t="s">
        <v>2253</v>
      </c>
      <c r="D64" s="25" t="s">
        <v>2289</v>
      </c>
      <c r="E64" s="25" t="s">
        <v>2290</v>
      </c>
      <c r="F64" s="37"/>
      <c r="G64" s="37"/>
      <c r="H64" s="25" t="s">
        <v>23</v>
      </c>
      <c r="I64" s="31" t="s">
        <v>2291</v>
      </c>
      <c r="J64" s="31" t="s">
        <v>2292</v>
      </c>
      <c r="K64" s="31" t="s">
        <v>2293</v>
      </c>
      <c r="L64" s="31" t="s">
        <v>2294</v>
      </c>
      <c r="M64" s="31" t="s">
        <v>2295</v>
      </c>
      <c r="N64" s="32" t="s">
        <v>2296</v>
      </c>
      <c r="O64" s="25" t="s">
        <v>2297</v>
      </c>
      <c r="P64" s="25" t="s">
        <v>2298</v>
      </c>
      <c r="Q64" s="37"/>
      <c r="R64" s="25" t="s">
        <v>2299</v>
      </c>
      <c r="S64" s="37"/>
      <c r="T64" s="34" t="s">
        <v>2300</v>
      </c>
      <c r="U64" s="34" t="s">
        <v>2301</v>
      </c>
      <c r="V64" s="35" t="s">
        <v>2302</v>
      </c>
      <c r="W64" s="37"/>
      <c r="X64" s="36" t="s">
        <v>2303</v>
      </c>
    </row>
    <row r="65" ht="78.0" customHeight="1">
      <c r="A65" s="37"/>
      <c r="B65" s="25" t="s">
        <v>2170</v>
      </c>
      <c r="C65" s="25" t="s">
        <v>2304</v>
      </c>
      <c r="D65" s="25" t="s">
        <v>2305</v>
      </c>
      <c r="E65" s="25" t="s">
        <v>2306</v>
      </c>
      <c r="F65" s="37"/>
      <c r="G65" s="37"/>
      <c r="H65" s="25" t="s">
        <v>91</v>
      </c>
      <c r="I65" s="31" t="s">
        <v>2307</v>
      </c>
      <c r="J65" s="31" t="s">
        <v>2308</v>
      </c>
      <c r="K65" s="31" t="s">
        <v>2309</v>
      </c>
      <c r="L65" s="31" t="s">
        <v>2310</v>
      </c>
      <c r="M65" s="31" t="s">
        <v>2311</v>
      </c>
      <c r="N65" s="32" t="s">
        <v>2312</v>
      </c>
      <c r="O65" s="25" t="s">
        <v>2313</v>
      </c>
      <c r="P65" s="25" t="s">
        <v>2314</v>
      </c>
      <c r="Q65" s="37"/>
      <c r="R65" s="25" t="s">
        <v>2315</v>
      </c>
      <c r="S65" s="37"/>
      <c r="T65" s="34" t="s">
        <v>2316</v>
      </c>
      <c r="U65" s="34" t="s">
        <v>2317</v>
      </c>
      <c r="V65" s="35" t="s">
        <v>2318</v>
      </c>
      <c r="W65" s="37"/>
      <c r="X65" s="36" t="s">
        <v>2319</v>
      </c>
    </row>
    <row r="66" ht="60.0" customHeight="1">
      <c r="A66" s="37"/>
      <c r="B66" s="25" t="s">
        <v>2170</v>
      </c>
      <c r="C66" s="25" t="s">
        <v>2304</v>
      </c>
      <c r="D66" s="25" t="s">
        <v>2320</v>
      </c>
      <c r="E66" s="25" t="s">
        <v>2321</v>
      </c>
      <c r="F66" s="37"/>
      <c r="G66" s="37"/>
      <c r="H66" s="25" t="s">
        <v>60</v>
      </c>
      <c r="I66" s="31" t="s">
        <v>2322</v>
      </c>
      <c r="J66" s="31" t="s">
        <v>2323</v>
      </c>
      <c r="K66" s="31" t="s">
        <v>2324</v>
      </c>
      <c r="L66" s="31" t="s">
        <v>2325</v>
      </c>
      <c r="M66" s="31" t="s">
        <v>2326</v>
      </c>
      <c r="N66" s="32" t="s">
        <v>2327</v>
      </c>
      <c r="O66" s="25" t="s">
        <v>2328</v>
      </c>
      <c r="P66" s="25" t="s">
        <v>2329</v>
      </c>
      <c r="Q66" s="37"/>
      <c r="R66" s="25" t="s">
        <v>2330</v>
      </c>
      <c r="S66" s="37"/>
      <c r="T66" s="34" t="s">
        <v>2331</v>
      </c>
      <c r="U66" s="34" t="s">
        <v>2332</v>
      </c>
      <c r="V66" s="35" t="s">
        <v>2333</v>
      </c>
      <c r="W66" s="37"/>
      <c r="X66" s="36" t="s">
        <v>2334</v>
      </c>
    </row>
    <row r="67" ht="87.0" customHeight="1">
      <c r="A67" s="18"/>
      <c r="B67" s="25" t="s">
        <v>2170</v>
      </c>
      <c r="C67" s="25" t="s">
        <v>2304</v>
      </c>
      <c r="D67" s="25" t="s">
        <v>2335</v>
      </c>
      <c r="E67" s="25" t="s">
        <v>2336</v>
      </c>
      <c r="F67" s="18"/>
      <c r="G67" s="18"/>
      <c r="H67" s="25" t="s">
        <v>23</v>
      </c>
      <c r="I67" s="31" t="s">
        <v>2337</v>
      </c>
      <c r="J67" s="31" t="s">
        <v>2338</v>
      </c>
      <c r="K67" s="31" t="s">
        <v>2339</v>
      </c>
      <c r="L67" s="31" t="s">
        <v>2340</v>
      </c>
      <c r="M67" s="31" t="s">
        <v>2341</v>
      </c>
      <c r="N67" s="32" t="s">
        <v>2342</v>
      </c>
      <c r="O67" s="25" t="s">
        <v>2343</v>
      </c>
      <c r="P67" s="25" t="s">
        <v>2344</v>
      </c>
      <c r="Q67" s="18"/>
      <c r="R67" s="25" t="s">
        <v>2345</v>
      </c>
      <c r="S67" s="18"/>
      <c r="T67" s="34" t="s">
        <v>2346</v>
      </c>
      <c r="U67" s="34" t="s">
        <v>2347</v>
      </c>
      <c r="V67" s="35" t="s">
        <v>2348</v>
      </c>
      <c r="W67" s="18"/>
      <c r="X67" s="36" t="s">
        <v>2349</v>
      </c>
    </row>
    <row r="68" ht="165.0" customHeight="1">
      <c r="A68" s="50" t="s">
        <v>2350</v>
      </c>
      <c r="B68" s="26" t="s">
        <v>2351</v>
      </c>
      <c r="C68" s="26" t="s">
        <v>2352</v>
      </c>
      <c r="D68" s="26" t="s">
        <v>2353</v>
      </c>
      <c r="E68" s="26" t="s">
        <v>2354</v>
      </c>
      <c r="F68" s="28" t="s">
        <v>2355</v>
      </c>
      <c r="G68" s="28" t="s">
        <v>2356</v>
      </c>
      <c r="H68" s="25" t="s">
        <v>60</v>
      </c>
      <c r="I68" s="31" t="s">
        <v>2357</v>
      </c>
      <c r="J68" s="31" t="s">
        <v>2358</v>
      </c>
      <c r="K68" s="31" t="s">
        <v>2359</v>
      </c>
      <c r="L68" s="31" t="s">
        <v>2360</v>
      </c>
      <c r="M68" s="31" t="s">
        <v>2361</v>
      </c>
      <c r="N68" s="32" t="s">
        <v>2362</v>
      </c>
      <c r="O68" s="25" t="s">
        <v>2363</v>
      </c>
      <c r="P68" s="25" t="s">
        <v>2364</v>
      </c>
      <c r="Q68" s="28" t="s">
        <v>2365</v>
      </c>
      <c r="R68" s="26" t="s">
        <v>2366</v>
      </c>
      <c r="S68" s="28" t="s">
        <v>2367</v>
      </c>
      <c r="T68" s="34" t="s">
        <v>2368</v>
      </c>
      <c r="U68" s="34" t="s">
        <v>2369</v>
      </c>
      <c r="V68" s="35" t="s">
        <v>2370</v>
      </c>
      <c r="W68" s="28" t="s">
        <v>2371</v>
      </c>
      <c r="X68" s="26" t="s">
        <v>70</v>
      </c>
    </row>
    <row r="69" ht="78.0" customHeight="1">
      <c r="A69" s="37"/>
      <c r="B69" s="26" t="s">
        <v>2351</v>
      </c>
      <c r="C69" s="26" t="s">
        <v>2352</v>
      </c>
      <c r="D69" s="26" t="s">
        <v>2372</v>
      </c>
      <c r="E69" s="26" t="s">
        <v>2373</v>
      </c>
      <c r="F69" s="37"/>
      <c r="G69" s="37"/>
      <c r="H69" s="25" t="s">
        <v>23</v>
      </c>
      <c r="I69" s="31" t="s">
        <v>2374</v>
      </c>
      <c r="J69" s="31" t="s">
        <v>2375</v>
      </c>
      <c r="K69" s="31" t="s">
        <v>2376</v>
      </c>
      <c r="L69" s="31" t="s">
        <v>2377</v>
      </c>
      <c r="M69" s="31" t="s">
        <v>2378</v>
      </c>
      <c r="N69" s="32" t="s">
        <v>2379</v>
      </c>
      <c r="O69" s="25" t="s">
        <v>2380</v>
      </c>
      <c r="P69" s="25" t="s">
        <v>2381</v>
      </c>
      <c r="Q69" s="37"/>
      <c r="R69" s="26" t="s">
        <v>2382</v>
      </c>
      <c r="S69" s="37"/>
      <c r="T69" s="34" t="s">
        <v>2383</v>
      </c>
      <c r="U69" s="34" t="s">
        <v>2384</v>
      </c>
      <c r="V69" s="35" t="s">
        <v>2385</v>
      </c>
      <c r="W69" s="37"/>
      <c r="X69" s="26" t="s">
        <v>70</v>
      </c>
    </row>
    <row r="70" ht="61.5" customHeight="1">
      <c r="A70" s="37"/>
      <c r="B70" s="26" t="s">
        <v>2351</v>
      </c>
      <c r="C70" s="26" t="s">
        <v>2386</v>
      </c>
      <c r="D70" s="26" t="s">
        <v>2387</v>
      </c>
      <c r="E70" s="26" t="s">
        <v>2388</v>
      </c>
      <c r="F70" s="37"/>
      <c r="G70" s="37"/>
      <c r="H70" s="25" t="s">
        <v>60</v>
      </c>
      <c r="I70" s="31" t="s">
        <v>2389</v>
      </c>
      <c r="J70" s="31" t="s">
        <v>2390</v>
      </c>
      <c r="K70" s="31" t="s">
        <v>2391</v>
      </c>
      <c r="L70" s="31" t="s">
        <v>2392</v>
      </c>
      <c r="M70" s="31" t="s">
        <v>2393</v>
      </c>
      <c r="N70" s="32" t="s">
        <v>2394</v>
      </c>
      <c r="O70" s="25" t="s">
        <v>2395</v>
      </c>
      <c r="P70" s="25" t="s">
        <v>2396</v>
      </c>
      <c r="Q70" s="37"/>
      <c r="R70" s="26" t="s">
        <v>2397</v>
      </c>
      <c r="S70" s="37"/>
      <c r="T70" s="34" t="s">
        <v>2398</v>
      </c>
      <c r="U70" s="34" t="s">
        <v>2399</v>
      </c>
      <c r="V70" s="35" t="s">
        <v>2400</v>
      </c>
      <c r="W70" s="37"/>
      <c r="X70" s="26" t="s">
        <v>70</v>
      </c>
    </row>
    <row r="71" ht="81.0" customHeight="1">
      <c r="A71" s="37"/>
      <c r="B71" s="26" t="s">
        <v>2351</v>
      </c>
      <c r="C71" s="26" t="s">
        <v>2401</v>
      </c>
      <c r="D71" s="26" t="s">
        <v>2402</v>
      </c>
      <c r="E71" s="26" t="s">
        <v>2403</v>
      </c>
      <c r="F71" s="37"/>
      <c r="G71" s="37"/>
      <c r="H71" s="25" t="s">
        <v>23</v>
      </c>
      <c r="I71" s="31" t="s">
        <v>2404</v>
      </c>
      <c r="J71" s="31" t="s">
        <v>2405</v>
      </c>
      <c r="K71" s="31" t="s">
        <v>2406</v>
      </c>
      <c r="L71" s="31" t="s">
        <v>2407</v>
      </c>
      <c r="M71" s="31" t="s">
        <v>2408</v>
      </c>
      <c r="N71" s="32" t="s">
        <v>2409</v>
      </c>
      <c r="O71" s="25" t="s">
        <v>2410</v>
      </c>
      <c r="P71" s="25" t="s">
        <v>2411</v>
      </c>
      <c r="Q71" s="37"/>
      <c r="R71" s="26" t="s">
        <v>2412</v>
      </c>
      <c r="S71" s="37"/>
      <c r="T71" s="34" t="s">
        <v>2413</v>
      </c>
      <c r="U71" s="34" t="s">
        <v>2414</v>
      </c>
      <c r="V71" s="35" t="s">
        <v>2415</v>
      </c>
      <c r="W71" s="37"/>
      <c r="X71" s="26" t="s">
        <v>70</v>
      </c>
    </row>
    <row r="72" ht="76.5" customHeight="1">
      <c r="A72" s="18"/>
      <c r="B72" s="26" t="s">
        <v>2351</v>
      </c>
      <c r="C72" s="26" t="s">
        <v>2401</v>
      </c>
      <c r="D72" s="26" t="s">
        <v>2416</v>
      </c>
      <c r="E72" s="26" t="s">
        <v>2417</v>
      </c>
      <c r="F72" s="18"/>
      <c r="G72" s="18"/>
      <c r="H72" s="25" t="s">
        <v>23</v>
      </c>
      <c r="I72" s="31" t="s">
        <v>2418</v>
      </c>
      <c r="J72" s="31" t="s">
        <v>2419</v>
      </c>
      <c r="K72" s="31" t="s">
        <v>2420</v>
      </c>
      <c r="L72" s="31" t="s">
        <v>2421</v>
      </c>
      <c r="M72" s="31" t="s">
        <v>2422</v>
      </c>
      <c r="N72" s="32" t="s">
        <v>2423</v>
      </c>
      <c r="O72" s="25" t="s">
        <v>2424</v>
      </c>
      <c r="P72" s="25" t="s">
        <v>2425</v>
      </c>
      <c r="Q72" s="18"/>
      <c r="R72" s="26" t="s">
        <v>2426</v>
      </c>
      <c r="S72" s="18"/>
      <c r="T72" s="34" t="s">
        <v>2427</v>
      </c>
      <c r="U72" s="34" t="s">
        <v>2428</v>
      </c>
      <c r="V72" s="35" t="s">
        <v>2429</v>
      </c>
      <c r="W72" s="18"/>
      <c r="X72" s="26" t="s">
        <v>70</v>
      </c>
    </row>
    <row r="73" ht="15.75" customHeight="1"/>
    <row r="74" ht="15.75" customHeight="1">
      <c r="B74" s="53" t="s">
        <v>2130</v>
      </c>
      <c r="C74" s="54"/>
      <c r="D74" s="55" t="s">
        <v>2139</v>
      </c>
    </row>
    <row r="75" ht="15.75" customHeight="1">
      <c r="C75" s="56"/>
      <c r="D75" s="55" t="s">
        <v>2142</v>
      </c>
    </row>
    <row r="76" ht="15.75" customHeight="1">
      <c r="C76" s="57"/>
      <c r="D76" s="55" t="s">
        <v>2147</v>
      </c>
    </row>
    <row r="77" ht="15.75" customHeight="1">
      <c r="C77" s="58"/>
      <c r="D77" s="55" t="s">
        <v>2148</v>
      </c>
    </row>
    <row r="78" ht="15.75" customHeight="1">
      <c r="C78" s="59"/>
      <c r="D78" s="55" t="s">
        <v>2151</v>
      </c>
    </row>
    <row r="79" ht="15.75" customHeight="1">
      <c r="C79" s="60"/>
      <c r="D79" s="55" t="s">
        <v>71</v>
      </c>
    </row>
    <row r="80" ht="15.75" customHeight="1">
      <c r="C80" s="61"/>
      <c r="D80" s="55" t="s">
        <v>2159</v>
      </c>
    </row>
    <row r="81" ht="15.75" customHeight="1">
      <c r="D81" s="62" t="s">
        <v>2163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61">
    <mergeCell ref="Q46:Q57"/>
    <mergeCell ref="Q58:Q67"/>
    <mergeCell ref="S3:S6"/>
    <mergeCell ref="S7:S16"/>
    <mergeCell ref="Q17:Q28"/>
    <mergeCell ref="S17:S28"/>
    <mergeCell ref="Q29:Q45"/>
    <mergeCell ref="S29:S45"/>
    <mergeCell ref="S46:S57"/>
    <mergeCell ref="S58:S67"/>
    <mergeCell ref="H1:H2"/>
    <mergeCell ref="I1:M1"/>
    <mergeCell ref="N1:N2"/>
    <mergeCell ref="O1:O2"/>
    <mergeCell ref="P1:P2"/>
    <mergeCell ref="Q1:Q2"/>
    <mergeCell ref="R1:R2"/>
    <mergeCell ref="A1:A2"/>
    <mergeCell ref="B1:B2"/>
    <mergeCell ref="C1:C2"/>
    <mergeCell ref="D1:D2"/>
    <mergeCell ref="E1:E2"/>
    <mergeCell ref="F1:F2"/>
    <mergeCell ref="G1:G2"/>
    <mergeCell ref="S1:S2"/>
    <mergeCell ref="T1:T2"/>
    <mergeCell ref="U1:U2"/>
    <mergeCell ref="V1:V2"/>
    <mergeCell ref="X1:X2"/>
    <mergeCell ref="Q3:Q6"/>
    <mergeCell ref="Q7:Q16"/>
    <mergeCell ref="W7:W16"/>
    <mergeCell ref="A17:A28"/>
    <mergeCell ref="A29:A45"/>
    <mergeCell ref="A46:A57"/>
    <mergeCell ref="A58:A67"/>
    <mergeCell ref="A68:A72"/>
    <mergeCell ref="F29:F45"/>
    <mergeCell ref="G29:G45"/>
    <mergeCell ref="F46:F57"/>
    <mergeCell ref="G46:G57"/>
    <mergeCell ref="F58:F67"/>
    <mergeCell ref="G58:G67"/>
    <mergeCell ref="F68:F72"/>
    <mergeCell ref="G68:G72"/>
    <mergeCell ref="F3:F6"/>
    <mergeCell ref="G3:G6"/>
    <mergeCell ref="A7:A16"/>
    <mergeCell ref="F7:F16"/>
    <mergeCell ref="G7:G16"/>
    <mergeCell ref="F17:F28"/>
    <mergeCell ref="G17:G28"/>
    <mergeCell ref="W58:W67"/>
    <mergeCell ref="W68:W72"/>
    <mergeCell ref="W1:W2"/>
    <mergeCell ref="W3:W6"/>
    <mergeCell ref="W17:W28"/>
    <mergeCell ref="W29:W45"/>
    <mergeCell ref="W46:W57"/>
    <mergeCell ref="Q68:Q72"/>
    <mergeCell ref="S68:S72"/>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60.0"/>
    <col customWidth="1" min="5" max="5" width="22.0"/>
    <col customWidth="1" min="6" max="26" width="8.71"/>
  </cols>
  <sheetData>
    <row r="1" ht="30.0" customHeight="1">
      <c r="A1" s="4" t="s">
        <v>0</v>
      </c>
      <c r="B1" s="4" t="s">
        <v>12</v>
      </c>
      <c r="C1" s="4" t="s">
        <v>16</v>
      </c>
      <c r="D1" s="4" t="s">
        <v>17</v>
      </c>
      <c r="E1" s="4" t="s">
        <v>18</v>
      </c>
    </row>
    <row r="2" ht="43.5" customHeight="1">
      <c r="A2" s="6" t="s">
        <v>21</v>
      </c>
      <c r="B2" s="8" t="s">
        <v>23</v>
      </c>
      <c r="C2" s="8" t="s">
        <v>26</v>
      </c>
      <c r="D2" s="8" t="s">
        <v>28</v>
      </c>
      <c r="E2" s="8" t="s">
        <v>30</v>
      </c>
    </row>
    <row r="3" ht="43.5" customHeight="1">
      <c r="A3" s="6" t="s">
        <v>31</v>
      </c>
      <c r="B3" s="8" t="s">
        <v>23</v>
      </c>
      <c r="C3" s="8" t="s">
        <v>32</v>
      </c>
      <c r="D3" s="8" t="s">
        <v>33</v>
      </c>
      <c r="E3" s="8" t="s">
        <v>34</v>
      </c>
    </row>
    <row r="4" ht="43.5" customHeight="1">
      <c r="A4" s="6" t="s">
        <v>35</v>
      </c>
      <c r="B4" s="8" t="s">
        <v>23</v>
      </c>
      <c r="C4" s="8" t="s">
        <v>37</v>
      </c>
      <c r="D4" s="8" t="s">
        <v>38</v>
      </c>
      <c r="E4" s="8" t="s">
        <v>39</v>
      </c>
    </row>
    <row r="5" ht="43.5" customHeight="1">
      <c r="A5" s="6" t="s">
        <v>40</v>
      </c>
      <c r="B5" s="8" t="s">
        <v>23</v>
      </c>
      <c r="C5" s="8" t="s">
        <v>41</v>
      </c>
      <c r="D5" s="8" t="s">
        <v>42</v>
      </c>
      <c r="E5" s="8" t="s">
        <v>44</v>
      </c>
    </row>
    <row r="6" ht="43.5" customHeight="1">
      <c r="A6" s="6" t="s">
        <v>46</v>
      </c>
      <c r="B6" s="8" t="s">
        <v>23</v>
      </c>
      <c r="C6" s="8" t="s">
        <v>48</v>
      </c>
      <c r="D6" s="8" t="s">
        <v>50</v>
      </c>
      <c r="E6" s="8" t="s">
        <v>51</v>
      </c>
    </row>
    <row r="7" ht="43.5" customHeight="1">
      <c r="A7" s="6" t="s">
        <v>53</v>
      </c>
      <c r="B7" s="8" t="s">
        <v>23</v>
      </c>
      <c r="C7" s="8" t="s">
        <v>54</v>
      </c>
      <c r="D7" s="8" t="s">
        <v>55</v>
      </c>
      <c r="E7" s="8" t="s">
        <v>57</v>
      </c>
    </row>
    <row r="8" ht="43.5" customHeight="1">
      <c r="A8" s="6" t="s">
        <v>59</v>
      </c>
      <c r="B8" s="8" t="s">
        <v>60</v>
      </c>
      <c r="C8" s="8" t="s">
        <v>61</v>
      </c>
      <c r="D8" s="8" t="s">
        <v>62</v>
      </c>
      <c r="E8" s="8" t="s">
        <v>51</v>
      </c>
    </row>
    <row r="9" ht="43.5" customHeight="1">
      <c r="A9" s="6" t="s">
        <v>64</v>
      </c>
      <c r="B9" s="8" t="s">
        <v>60</v>
      </c>
      <c r="C9" s="8" t="s">
        <v>73</v>
      </c>
      <c r="D9" s="8" t="s">
        <v>74</v>
      </c>
      <c r="E9" s="8" t="s">
        <v>76</v>
      </c>
    </row>
    <row r="10" ht="43.5" customHeight="1">
      <c r="A10" s="6" t="s">
        <v>77</v>
      </c>
      <c r="B10" s="8" t="s">
        <v>60</v>
      </c>
      <c r="C10" s="8" t="s">
        <v>80</v>
      </c>
      <c r="D10" s="8" t="s">
        <v>81</v>
      </c>
      <c r="E10" s="8" t="s">
        <v>83</v>
      </c>
    </row>
    <row r="11" ht="43.5" customHeight="1">
      <c r="A11" s="6" t="s">
        <v>84</v>
      </c>
      <c r="B11" s="8" t="s">
        <v>60</v>
      </c>
      <c r="C11" s="8" t="s">
        <v>85</v>
      </c>
      <c r="D11" s="8" t="s">
        <v>87</v>
      </c>
      <c r="E11" s="8" t="s">
        <v>76</v>
      </c>
    </row>
    <row r="12" ht="43.5" customHeight="1">
      <c r="A12" s="6" t="s">
        <v>89</v>
      </c>
      <c r="B12" s="8" t="s">
        <v>91</v>
      </c>
      <c r="C12" s="8" t="s">
        <v>92</v>
      </c>
      <c r="D12" s="8" t="s">
        <v>93</v>
      </c>
      <c r="E12" s="8" t="s">
        <v>83</v>
      </c>
    </row>
    <row r="13" ht="43.5" customHeight="1">
      <c r="A13" s="6" t="s">
        <v>96</v>
      </c>
      <c r="B13" s="8" t="s">
        <v>91</v>
      </c>
      <c r="C13" s="8" t="s">
        <v>98</v>
      </c>
      <c r="D13" s="8" t="s">
        <v>100</v>
      </c>
      <c r="E13" s="8" t="s">
        <v>83</v>
      </c>
    </row>
    <row r="14" ht="43.5" customHeight="1">
      <c r="A14" s="6" t="s">
        <v>102</v>
      </c>
      <c r="B14" s="8" t="s">
        <v>91</v>
      </c>
      <c r="C14" s="8" t="s">
        <v>103</v>
      </c>
      <c r="D14" s="8" t="s">
        <v>104</v>
      </c>
      <c r="E14" s="8" t="s">
        <v>76</v>
      </c>
    </row>
    <row r="15" ht="43.5" customHeight="1">
      <c r="A15" s="6" t="s">
        <v>106</v>
      </c>
      <c r="B15" s="8" t="s">
        <v>91</v>
      </c>
      <c r="C15" s="8" t="s">
        <v>108</v>
      </c>
      <c r="D15" s="8" t="s">
        <v>109</v>
      </c>
      <c r="E15" s="8" t="s">
        <v>110</v>
      </c>
    </row>
    <row r="16" ht="43.5" customHeight="1">
      <c r="A16" s="6" t="s">
        <v>111</v>
      </c>
      <c r="B16" s="8" t="s">
        <v>91</v>
      </c>
      <c r="C16" s="8" t="s">
        <v>112</v>
      </c>
      <c r="D16" s="8" t="s">
        <v>113</v>
      </c>
      <c r="E16" s="8" t="s">
        <v>110</v>
      </c>
    </row>
    <row r="18">
      <c r="A18" s="1" t="s">
        <v>116</v>
      </c>
    </row>
    <row r="19" ht="19.5" customHeight="1">
      <c r="A19" s="20" t="s">
        <v>118</v>
      </c>
      <c r="B19" s="8" t="s">
        <v>120</v>
      </c>
      <c r="C19" s="23" t="s">
        <v>122</v>
      </c>
      <c r="D19" s="11"/>
      <c r="E19" s="13"/>
    </row>
    <row r="20" ht="19.5" customHeight="1">
      <c r="A20" s="20" t="s">
        <v>124</v>
      </c>
      <c r="B20" s="8" t="s">
        <v>125</v>
      </c>
      <c r="C20" s="23" t="s">
        <v>126</v>
      </c>
      <c r="D20" s="11"/>
      <c r="E20" s="13"/>
    </row>
    <row r="21" ht="19.5" customHeight="1">
      <c r="A21" s="20" t="s">
        <v>127</v>
      </c>
      <c r="B21" s="8" t="s">
        <v>128</v>
      </c>
      <c r="C21" s="23" t="s">
        <v>131</v>
      </c>
      <c r="D21" s="11"/>
      <c r="E21" s="13"/>
    </row>
    <row r="22" ht="19.5" customHeight="1">
      <c r="A22" s="20" t="s">
        <v>133</v>
      </c>
      <c r="B22" s="8" t="s">
        <v>134</v>
      </c>
      <c r="C22" s="23" t="s">
        <v>135</v>
      </c>
      <c r="D22" s="11"/>
      <c r="E22" s="13"/>
    </row>
    <row r="23" ht="19.5" customHeight="1">
      <c r="A23" s="20" t="s">
        <v>139</v>
      </c>
      <c r="B23" s="8" t="s">
        <v>141</v>
      </c>
      <c r="C23" s="23" t="s">
        <v>142</v>
      </c>
      <c r="D23" s="11"/>
      <c r="E23" s="13"/>
    </row>
    <row r="24" ht="15.75" customHeight="1"/>
    <row r="25" ht="30.0" customHeight="1">
      <c r="A25" s="30" t="s">
        <v>148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9:E19"/>
    <mergeCell ref="C20:E20"/>
    <mergeCell ref="C21:E21"/>
    <mergeCell ref="C22:E22"/>
    <mergeCell ref="C23:E23"/>
    <mergeCell ref="A25:E25"/>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4.0"/>
    <col customWidth="1" min="3" max="3" width="26.0"/>
    <col customWidth="1" min="4" max="4" width="44.0"/>
    <col customWidth="1" min="5" max="5" width="34.0"/>
    <col customWidth="1" min="6" max="6" width="12.0"/>
    <col customWidth="1" min="7" max="26" width="8.71"/>
  </cols>
  <sheetData>
    <row r="1">
      <c r="A1" s="1" t="s">
        <v>513</v>
      </c>
    </row>
    <row r="2" ht="19.5" customHeight="1">
      <c r="A2" s="39" t="s">
        <v>515</v>
      </c>
    </row>
    <row r="3" ht="19.5" customHeight="1">
      <c r="A3" s="39" t="s">
        <v>520</v>
      </c>
    </row>
    <row r="4" ht="19.5" customHeight="1">
      <c r="A4" s="39" t="s">
        <v>524</v>
      </c>
    </row>
    <row r="5" ht="19.5" customHeight="1">
      <c r="A5" s="39" t="s">
        <v>529</v>
      </c>
    </row>
    <row r="6" ht="19.5" customHeight="1">
      <c r="A6" s="39" t="s">
        <v>537</v>
      </c>
    </row>
    <row r="8">
      <c r="A8" s="1" t="s">
        <v>545</v>
      </c>
    </row>
    <row r="9" ht="30.0" customHeight="1">
      <c r="A9" s="40" t="s">
        <v>549</v>
      </c>
      <c r="B9" s="40" t="s">
        <v>550</v>
      </c>
      <c r="C9" s="40" t="s">
        <v>18</v>
      </c>
      <c r="D9" s="40" t="s">
        <v>553</v>
      </c>
      <c r="E9" s="40" t="s">
        <v>555</v>
      </c>
      <c r="F9" s="40" t="s">
        <v>557</v>
      </c>
    </row>
    <row r="10" ht="48.0" customHeight="1">
      <c r="A10" s="41" t="s">
        <v>560</v>
      </c>
      <c r="B10" s="8" t="s">
        <v>567</v>
      </c>
      <c r="C10" s="8" t="s">
        <v>110</v>
      </c>
      <c r="D10" s="8" t="s">
        <v>574</v>
      </c>
      <c r="E10" s="8" t="s">
        <v>576</v>
      </c>
      <c r="F10" s="8">
        <v>38.0</v>
      </c>
    </row>
    <row r="11" ht="48.0" customHeight="1">
      <c r="A11" s="41" t="s">
        <v>586</v>
      </c>
      <c r="B11" s="8" t="s">
        <v>587</v>
      </c>
      <c r="C11" s="8" t="s">
        <v>110</v>
      </c>
      <c r="D11" s="8" t="s">
        <v>590</v>
      </c>
      <c r="E11" s="8" t="s">
        <v>591</v>
      </c>
      <c r="F11" s="8">
        <v>40.0</v>
      </c>
    </row>
    <row r="12" ht="48.0" customHeight="1">
      <c r="A12" s="41" t="s">
        <v>594</v>
      </c>
      <c r="B12" s="8" t="s">
        <v>595</v>
      </c>
      <c r="C12" s="8" t="s">
        <v>76</v>
      </c>
      <c r="D12" s="8" t="s">
        <v>596</v>
      </c>
      <c r="E12" s="8" t="s">
        <v>597</v>
      </c>
      <c r="F12" s="8">
        <v>41.0</v>
      </c>
    </row>
    <row r="13" ht="48.0" customHeight="1">
      <c r="A13" s="41" t="s">
        <v>598</v>
      </c>
      <c r="B13" s="8" t="s">
        <v>599</v>
      </c>
      <c r="C13" s="8" t="s">
        <v>76</v>
      </c>
      <c r="D13" s="8" t="s">
        <v>603</v>
      </c>
      <c r="E13" s="8" t="s">
        <v>604</v>
      </c>
      <c r="F13" s="8">
        <v>43.0</v>
      </c>
    </row>
    <row r="15">
      <c r="A15" s="1" t="s">
        <v>608</v>
      </c>
    </row>
    <row r="16" ht="30.0" customHeight="1">
      <c r="A16" s="42" t="s">
        <v>549</v>
      </c>
      <c r="B16" s="42" t="s">
        <v>550</v>
      </c>
      <c r="C16" s="42" t="s">
        <v>616</v>
      </c>
      <c r="D16" s="42" t="s">
        <v>553</v>
      </c>
      <c r="E16" s="42"/>
      <c r="F16" s="42" t="s">
        <v>557</v>
      </c>
    </row>
    <row r="17" ht="55.5" customHeight="1">
      <c r="A17" s="43" t="s">
        <v>625</v>
      </c>
      <c r="B17" s="8" t="s">
        <v>632</v>
      </c>
      <c r="C17" s="8" t="s">
        <v>634</v>
      </c>
      <c r="D17" s="8" t="s">
        <v>635</v>
      </c>
      <c r="E17" s="8"/>
      <c r="F17" s="8">
        <v>54.0</v>
      </c>
    </row>
    <row r="18" ht="55.5" customHeight="1">
      <c r="A18" s="43" t="s">
        <v>638</v>
      </c>
      <c r="B18" s="8" t="s">
        <v>639</v>
      </c>
      <c r="C18" s="8" t="s">
        <v>641</v>
      </c>
      <c r="D18" s="8" t="s">
        <v>642</v>
      </c>
      <c r="E18" s="8"/>
      <c r="F18" s="8">
        <v>53.0</v>
      </c>
    </row>
    <row r="19" ht="55.5" customHeight="1">
      <c r="A19" s="43" t="s">
        <v>644</v>
      </c>
      <c r="B19" s="8" t="s">
        <v>646</v>
      </c>
      <c r="C19" s="8" t="s">
        <v>648</v>
      </c>
      <c r="D19" s="8" t="s">
        <v>650</v>
      </c>
      <c r="E19" s="8"/>
      <c r="F19" s="8">
        <v>55.0</v>
      </c>
    </row>
    <row r="21" ht="15.75" customHeight="1">
      <c r="A21" s="1" t="s">
        <v>653</v>
      </c>
    </row>
    <row r="22" ht="15.75" customHeight="1">
      <c r="A22" s="4" t="s">
        <v>656</v>
      </c>
      <c r="B22" s="4" t="s">
        <v>658</v>
      </c>
      <c r="C22" s="4"/>
      <c r="D22" s="4"/>
      <c r="E22" s="4"/>
      <c r="F22" s="4"/>
    </row>
    <row r="23" ht="19.5" customHeight="1">
      <c r="A23" s="20" t="s">
        <v>659</v>
      </c>
      <c r="B23" s="23" t="s">
        <v>660</v>
      </c>
      <c r="C23" s="11"/>
      <c r="D23" s="11"/>
      <c r="E23" s="11"/>
      <c r="F23" s="13"/>
    </row>
    <row r="24" ht="19.5" customHeight="1">
      <c r="A24" s="20" t="s">
        <v>671</v>
      </c>
      <c r="B24" s="23" t="s">
        <v>673</v>
      </c>
      <c r="C24" s="11"/>
      <c r="D24" s="11"/>
      <c r="E24" s="11"/>
      <c r="F24" s="13"/>
    </row>
    <row r="25" ht="19.5" customHeight="1">
      <c r="A25" s="20" t="s">
        <v>679</v>
      </c>
      <c r="B25" s="23" t="s">
        <v>680</v>
      </c>
      <c r="C25" s="11"/>
      <c r="D25" s="11"/>
      <c r="E25" s="11"/>
      <c r="F25" s="1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2.0"/>
    <col customWidth="1" min="3" max="4" width="40.0"/>
    <col customWidth="1" min="5" max="5" width="70.0"/>
    <col customWidth="1" min="6" max="26" width="8.71"/>
  </cols>
  <sheetData>
    <row r="1" ht="30.0" customHeight="1">
      <c r="A1" s="4" t="s">
        <v>0</v>
      </c>
      <c r="B1" s="4" t="s">
        <v>685</v>
      </c>
      <c r="C1" s="4" t="s">
        <v>687</v>
      </c>
      <c r="D1" s="4" t="s">
        <v>688</v>
      </c>
      <c r="E1" s="4" t="s">
        <v>689</v>
      </c>
    </row>
    <row r="2" ht="42.0" customHeight="1">
      <c r="A2" s="44" t="s">
        <v>694</v>
      </c>
      <c r="B2" s="8" t="s">
        <v>700</v>
      </c>
      <c r="C2" s="45" t="s">
        <v>701</v>
      </c>
      <c r="D2" s="8" t="s">
        <v>703</v>
      </c>
      <c r="E2" s="8" t="s">
        <v>704</v>
      </c>
    </row>
    <row r="3" ht="42.0" customHeight="1">
      <c r="A3" s="44" t="s">
        <v>705</v>
      </c>
      <c r="B3" s="8" t="s">
        <v>700</v>
      </c>
      <c r="C3" s="45" t="s">
        <v>707</v>
      </c>
      <c r="D3" s="8" t="s">
        <v>709</v>
      </c>
      <c r="E3" s="8" t="s">
        <v>710</v>
      </c>
    </row>
    <row r="4" ht="42.0" customHeight="1">
      <c r="A4" s="44" t="s">
        <v>712</v>
      </c>
      <c r="B4" s="8" t="s">
        <v>700</v>
      </c>
      <c r="C4" s="45" t="s">
        <v>713</v>
      </c>
      <c r="D4" s="8" t="s">
        <v>714</v>
      </c>
      <c r="E4" s="8" t="s">
        <v>716</v>
      </c>
    </row>
    <row r="5" ht="30.0" customHeight="1">
      <c r="A5" s="44" t="s">
        <v>718</v>
      </c>
      <c r="B5" s="8" t="s">
        <v>719</v>
      </c>
      <c r="C5" s="45" t="s">
        <v>720</v>
      </c>
      <c r="D5" s="8" t="s">
        <v>722</v>
      </c>
      <c r="E5" s="8" t="s">
        <v>724</v>
      </c>
    </row>
    <row r="6" ht="30.0" customHeight="1">
      <c r="A6" s="44" t="s">
        <v>726</v>
      </c>
      <c r="B6" s="8" t="s">
        <v>719</v>
      </c>
      <c r="C6" s="45" t="s">
        <v>729</v>
      </c>
      <c r="D6" s="8" t="s">
        <v>730</v>
      </c>
      <c r="E6" s="8" t="s">
        <v>732</v>
      </c>
    </row>
    <row r="7" ht="30.0" customHeight="1">
      <c r="A7" s="44" t="s">
        <v>735</v>
      </c>
      <c r="B7" s="8" t="s">
        <v>719</v>
      </c>
      <c r="C7" s="45" t="s">
        <v>738</v>
      </c>
      <c r="D7" s="8" t="s">
        <v>739</v>
      </c>
      <c r="E7" s="8" t="s">
        <v>742</v>
      </c>
    </row>
    <row r="8" ht="30.0" customHeight="1">
      <c r="A8" s="44" t="s">
        <v>743</v>
      </c>
      <c r="B8" s="8" t="s">
        <v>719</v>
      </c>
      <c r="C8" s="45" t="s">
        <v>745</v>
      </c>
      <c r="D8" s="8" t="s">
        <v>746</v>
      </c>
      <c r="E8" s="8" t="s">
        <v>747</v>
      </c>
    </row>
    <row r="9" ht="30.0" customHeight="1">
      <c r="A9" s="44" t="s">
        <v>748</v>
      </c>
      <c r="B9" s="8" t="s">
        <v>719</v>
      </c>
      <c r="C9" s="45" t="s">
        <v>749</v>
      </c>
      <c r="D9" s="8" t="s">
        <v>750</v>
      </c>
      <c r="E9" s="8" t="s">
        <v>752</v>
      </c>
    </row>
    <row r="10" ht="30.0" customHeight="1">
      <c r="A10" s="44" t="s">
        <v>755</v>
      </c>
      <c r="B10" s="8" t="s">
        <v>719</v>
      </c>
      <c r="C10" s="45" t="s">
        <v>757</v>
      </c>
      <c r="D10" s="8" t="s">
        <v>758</v>
      </c>
      <c r="E10" s="8" t="s">
        <v>759</v>
      </c>
    </row>
    <row r="11" ht="42.0" customHeight="1">
      <c r="A11" s="44" t="s">
        <v>761</v>
      </c>
      <c r="B11" s="8" t="s">
        <v>763</v>
      </c>
      <c r="C11" s="45" t="s">
        <v>764</v>
      </c>
      <c r="D11" s="8" t="s">
        <v>765</v>
      </c>
      <c r="E11" s="8" t="s">
        <v>767</v>
      </c>
    </row>
    <row r="12" ht="30.0" customHeight="1">
      <c r="A12" s="44" t="s">
        <v>793</v>
      </c>
      <c r="B12" s="8" t="s">
        <v>763</v>
      </c>
      <c r="C12" s="45" t="s">
        <v>798</v>
      </c>
      <c r="D12" s="8" t="s">
        <v>801</v>
      </c>
      <c r="E12" s="8" t="s">
        <v>803</v>
      </c>
    </row>
    <row r="13" ht="30.0" customHeight="1">
      <c r="A13" s="44" t="s">
        <v>805</v>
      </c>
      <c r="B13" s="8" t="s">
        <v>763</v>
      </c>
      <c r="C13" s="45" t="s">
        <v>809</v>
      </c>
      <c r="D13" s="8" t="s">
        <v>810</v>
      </c>
      <c r="E13" s="8" t="s">
        <v>812</v>
      </c>
    </row>
    <row r="14" ht="42.0" customHeight="1">
      <c r="A14" s="44" t="s">
        <v>815</v>
      </c>
      <c r="B14" s="8" t="s">
        <v>763</v>
      </c>
      <c r="C14" s="45" t="s">
        <v>818</v>
      </c>
      <c r="D14" s="8" t="s">
        <v>820</v>
      </c>
      <c r="E14" s="8" t="s">
        <v>822</v>
      </c>
    </row>
    <row r="15" ht="30.0" customHeight="1">
      <c r="A15" s="44" t="s">
        <v>824</v>
      </c>
      <c r="B15" s="8" t="s">
        <v>825</v>
      </c>
      <c r="C15" s="45" t="s">
        <v>827</v>
      </c>
      <c r="D15" s="8" t="s">
        <v>829</v>
      </c>
      <c r="E15" s="8" t="s">
        <v>830</v>
      </c>
    </row>
    <row r="16" ht="30.0" customHeight="1">
      <c r="A16" s="44" t="s">
        <v>831</v>
      </c>
      <c r="B16" s="8" t="s">
        <v>825</v>
      </c>
      <c r="C16" s="45" t="s">
        <v>836</v>
      </c>
      <c r="D16" s="8" t="s">
        <v>838</v>
      </c>
      <c r="E16" s="8" t="s">
        <v>841</v>
      </c>
    </row>
    <row r="17" ht="30.0" customHeight="1">
      <c r="A17" s="44" t="s">
        <v>843</v>
      </c>
      <c r="B17" s="8" t="s">
        <v>825</v>
      </c>
      <c r="C17" s="45" t="s">
        <v>848</v>
      </c>
      <c r="D17" s="8" t="s">
        <v>851</v>
      </c>
      <c r="E17" s="8" t="s">
        <v>853</v>
      </c>
    </row>
    <row r="18" ht="30.0" customHeight="1">
      <c r="A18" s="44" t="s">
        <v>854</v>
      </c>
      <c r="B18" s="8" t="s">
        <v>825</v>
      </c>
      <c r="C18" s="45" t="s">
        <v>856</v>
      </c>
      <c r="D18" s="8" t="s">
        <v>857</v>
      </c>
      <c r="E18" s="8" t="s">
        <v>858</v>
      </c>
    </row>
    <row r="19" ht="30.0" customHeight="1">
      <c r="A19" s="44" t="s">
        <v>860</v>
      </c>
      <c r="B19" s="8" t="s">
        <v>861</v>
      </c>
      <c r="C19" s="45" t="s">
        <v>863</v>
      </c>
      <c r="D19" s="8" t="s">
        <v>865</v>
      </c>
      <c r="E19" s="8" t="s">
        <v>866</v>
      </c>
    </row>
    <row r="20" ht="30.0" customHeight="1">
      <c r="A20" s="44" t="s">
        <v>869</v>
      </c>
      <c r="B20" s="8" t="s">
        <v>861</v>
      </c>
      <c r="C20" s="45" t="s">
        <v>872</v>
      </c>
      <c r="D20" s="8" t="s">
        <v>873</v>
      </c>
      <c r="E20" s="8" t="s">
        <v>874</v>
      </c>
    </row>
    <row r="21" ht="30.0" customHeight="1">
      <c r="A21" s="44" t="s">
        <v>877</v>
      </c>
      <c r="B21" s="8" t="s">
        <v>861</v>
      </c>
      <c r="C21" s="45" t="s">
        <v>879</v>
      </c>
      <c r="D21" s="8" t="s">
        <v>882</v>
      </c>
      <c r="E21" s="8" t="s">
        <v>885</v>
      </c>
    </row>
    <row r="22" ht="30.0" customHeight="1">
      <c r="A22" s="44" t="s">
        <v>889</v>
      </c>
      <c r="B22" s="8" t="s">
        <v>861</v>
      </c>
      <c r="C22" s="45" t="s">
        <v>891</v>
      </c>
      <c r="D22" s="8" t="s">
        <v>893</v>
      </c>
      <c r="E22" s="8" t="s">
        <v>895</v>
      </c>
    </row>
    <row r="23" ht="15.75" customHeight="1"/>
    <row r="24" ht="43.5" customHeight="1">
      <c r="A24" s="30" t="s">
        <v>898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20.0"/>
    <col customWidth="1" min="3" max="26" width="8.71"/>
  </cols>
  <sheetData>
    <row r="1" ht="73.5" customHeight="1">
      <c r="A1" s="20" t="s">
        <v>1248</v>
      </c>
      <c r="B1" s="8" t="s">
        <v>1256</v>
      </c>
    </row>
    <row r="2" ht="87.75" customHeight="1">
      <c r="A2" s="20" t="s">
        <v>1260</v>
      </c>
      <c r="B2" s="8" t="s">
        <v>1263</v>
      </c>
    </row>
    <row r="3" ht="60.0" customHeight="1">
      <c r="A3" s="20" t="s">
        <v>1267</v>
      </c>
      <c r="B3" s="8" t="s">
        <v>1268</v>
      </c>
    </row>
    <row r="4" ht="60.0" customHeight="1">
      <c r="A4" s="20" t="s">
        <v>1270</v>
      </c>
      <c r="B4" s="8" t="s">
        <v>1271</v>
      </c>
    </row>
    <row r="5" ht="45.75" customHeight="1">
      <c r="A5" s="20" t="s">
        <v>1273</v>
      </c>
      <c r="B5" s="8" t="s">
        <v>1275</v>
      </c>
    </row>
    <row r="6" ht="45.75" customHeight="1">
      <c r="A6" s="20" t="s">
        <v>1279</v>
      </c>
      <c r="B6" s="8" t="s">
        <v>1282</v>
      </c>
    </row>
    <row r="7" ht="60.0" customHeight="1">
      <c r="A7" s="20" t="s">
        <v>1285</v>
      </c>
      <c r="B7" s="8" t="s">
        <v>1288</v>
      </c>
    </row>
    <row r="8" ht="60.0" customHeight="1">
      <c r="A8" s="20" t="s">
        <v>1290</v>
      </c>
      <c r="B8" s="8" t="s">
        <v>1292</v>
      </c>
    </row>
    <row r="9" ht="45.75" customHeight="1">
      <c r="A9" s="20" t="s">
        <v>1296</v>
      </c>
      <c r="B9" s="8" t="s">
        <v>1299</v>
      </c>
    </row>
    <row r="10" ht="31.5" customHeight="1">
      <c r="A10" s="20" t="s">
        <v>1302</v>
      </c>
      <c r="B10" s="8" t="s">
        <v>1310</v>
      </c>
    </row>
    <row r="11" ht="73.5" customHeight="1">
      <c r="A11" s="20" t="s">
        <v>1312</v>
      </c>
      <c r="B11" s="8" t="s">
        <v>1315</v>
      </c>
    </row>
    <row r="12" ht="31.5" customHeight="1">
      <c r="A12" s="20" t="s">
        <v>1317</v>
      </c>
      <c r="B12" s="8" t="s">
        <v>1318</v>
      </c>
    </row>
    <row r="13" ht="31.5" customHeight="1">
      <c r="A13" s="20" t="s">
        <v>1322</v>
      </c>
      <c r="B13" s="8" t="s">
        <v>1324</v>
      </c>
    </row>
    <row r="14" ht="60.0" customHeight="1">
      <c r="A14" s="20" t="s">
        <v>1327</v>
      </c>
      <c r="B14" s="8" t="s">
        <v>1332</v>
      </c>
    </row>
    <row r="15" ht="60.0" customHeight="1">
      <c r="A15" s="20" t="s">
        <v>1334</v>
      </c>
      <c r="B15" s="8" t="s">
        <v>1337</v>
      </c>
    </row>
    <row r="16" ht="115.5" customHeight="1">
      <c r="A16" s="20" t="s">
        <v>1340</v>
      </c>
      <c r="B16" s="8" t="s">
        <v>1343</v>
      </c>
    </row>
    <row r="17" ht="73.5" customHeight="1">
      <c r="A17" s="20" t="s">
        <v>1346</v>
      </c>
      <c r="B17" s="8" t="s">
        <v>1352</v>
      </c>
    </row>
    <row r="18" ht="45.75" customHeight="1">
      <c r="A18" s="20" t="s">
        <v>1354</v>
      </c>
      <c r="B18" s="8" t="s">
        <v>1356</v>
      </c>
    </row>
    <row r="19" ht="60.0" customHeight="1">
      <c r="A19" s="20" t="s">
        <v>1360</v>
      </c>
      <c r="B19" s="8" t="s">
        <v>1362</v>
      </c>
    </row>
    <row r="20" ht="45.75" customHeight="1">
      <c r="A20" s="20" t="s">
        <v>1365</v>
      </c>
      <c r="B20" s="8" t="s">
        <v>1370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46.0"/>
    <col customWidth="1" min="3" max="4" width="30.0"/>
    <col customWidth="1" min="5" max="5" width="22.0"/>
    <col customWidth="1" min="6" max="6" width="46.0"/>
    <col customWidth="1" min="7" max="8" width="40.0"/>
    <col customWidth="1" min="9" max="26" width="8.71"/>
  </cols>
  <sheetData>
    <row r="1" ht="14.25" customHeight="1">
      <c r="A1" s="46" t="s">
        <v>1280</v>
      </c>
      <c r="B1" s="47"/>
      <c r="C1" s="47"/>
      <c r="D1" s="47"/>
      <c r="E1" s="47"/>
      <c r="F1" s="47"/>
      <c r="G1" s="47"/>
      <c r="H1" s="47"/>
      <c r="I1" s="47"/>
      <c r="J1" s="47"/>
      <c r="K1" s="47"/>
      <c r="L1" s="47"/>
      <c r="M1" s="47"/>
      <c r="N1" s="47"/>
      <c r="O1" s="47"/>
      <c r="P1" s="47"/>
      <c r="Q1" s="47"/>
      <c r="R1" s="47"/>
      <c r="S1" s="47"/>
      <c r="T1" s="47"/>
      <c r="U1" s="47"/>
      <c r="V1" s="47"/>
      <c r="W1" s="47"/>
      <c r="X1" s="47"/>
      <c r="Y1" s="47"/>
      <c r="Z1" s="47"/>
    </row>
    <row r="2" ht="14.25" customHeight="1">
      <c r="A2" s="48" t="s">
        <v>1320</v>
      </c>
      <c r="B2" s="47"/>
      <c r="C2" s="47"/>
      <c r="D2" s="47"/>
      <c r="E2" s="47"/>
      <c r="F2" s="47"/>
      <c r="G2" s="47"/>
      <c r="H2" s="47"/>
      <c r="I2" s="47"/>
      <c r="J2" s="47"/>
      <c r="K2" s="47"/>
      <c r="L2" s="47"/>
      <c r="M2" s="47"/>
      <c r="N2" s="47"/>
      <c r="O2" s="47"/>
      <c r="P2" s="47"/>
      <c r="Q2" s="47"/>
      <c r="R2" s="47"/>
      <c r="S2" s="47"/>
      <c r="T2" s="47"/>
      <c r="U2" s="47"/>
      <c r="V2" s="47"/>
      <c r="W2" s="47"/>
      <c r="X2" s="47"/>
      <c r="Y2" s="47"/>
      <c r="Z2" s="47"/>
    </row>
    <row r="3" ht="14.25" customHeight="1">
      <c r="A3" s="47"/>
      <c r="B3" s="47"/>
      <c r="C3" s="47"/>
      <c r="D3" s="47"/>
      <c r="E3" s="47"/>
      <c r="F3" s="47"/>
      <c r="G3" s="47"/>
      <c r="H3" s="47"/>
      <c r="I3" s="47"/>
      <c r="J3" s="47"/>
      <c r="K3" s="47"/>
      <c r="L3" s="47"/>
      <c r="M3" s="47"/>
      <c r="N3" s="47"/>
      <c r="O3" s="47"/>
      <c r="P3" s="47"/>
      <c r="Q3" s="47"/>
      <c r="R3" s="47"/>
      <c r="S3" s="47"/>
      <c r="T3" s="47"/>
      <c r="U3" s="47"/>
      <c r="V3" s="47"/>
      <c r="W3" s="47"/>
      <c r="X3" s="47"/>
      <c r="Y3" s="47"/>
      <c r="Z3" s="47"/>
    </row>
    <row r="4" ht="14.25" customHeight="1">
      <c r="A4" s="49" t="s">
        <v>1349</v>
      </c>
      <c r="B4" s="47"/>
      <c r="C4" s="47"/>
      <c r="D4" s="47"/>
      <c r="E4" s="47"/>
      <c r="F4" s="47"/>
      <c r="G4" s="47"/>
      <c r="H4" s="47"/>
      <c r="I4" s="47"/>
      <c r="J4" s="47"/>
      <c r="K4" s="47"/>
      <c r="L4" s="47"/>
      <c r="M4" s="47"/>
      <c r="N4" s="47"/>
      <c r="O4" s="47"/>
      <c r="P4" s="47"/>
      <c r="Q4" s="47"/>
      <c r="R4" s="47"/>
      <c r="S4" s="47"/>
      <c r="T4" s="47"/>
      <c r="U4" s="47"/>
      <c r="V4" s="47"/>
      <c r="W4" s="47"/>
      <c r="X4" s="47"/>
      <c r="Y4" s="47"/>
      <c r="Z4" s="47"/>
    </row>
    <row r="5" ht="14.25" customHeight="1">
      <c r="A5" s="48" t="s">
        <v>1367</v>
      </c>
      <c r="B5" s="48" t="s">
        <v>1371</v>
      </c>
      <c r="C5" s="47"/>
      <c r="D5" s="47"/>
      <c r="E5" s="47"/>
      <c r="F5" s="47"/>
      <c r="G5" s="47"/>
      <c r="H5" s="47"/>
      <c r="I5" s="47"/>
      <c r="J5" s="47"/>
      <c r="K5" s="47"/>
      <c r="L5" s="47"/>
      <c r="M5" s="47"/>
      <c r="N5" s="47"/>
      <c r="O5" s="47"/>
      <c r="P5" s="47"/>
      <c r="Q5" s="47"/>
      <c r="R5" s="47"/>
      <c r="S5" s="47"/>
      <c r="T5" s="47"/>
      <c r="U5" s="47"/>
      <c r="V5" s="47"/>
      <c r="W5" s="47"/>
      <c r="X5" s="47"/>
      <c r="Y5" s="47"/>
      <c r="Z5" s="47"/>
    </row>
    <row r="6" ht="14.25" customHeight="1">
      <c r="A6" s="48" t="s">
        <v>1379</v>
      </c>
      <c r="B6" s="48" t="s">
        <v>1381</v>
      </c>
      <c r="C6" s="47"/>
      <c r="D6" s="47"/>
      <c r="E6" s="47"/>
      <c r="F6" s="47"/>
      <c r="G6" s="47"/>
      <c r="H6" s="47"/>
      <c r="I6" s="47"/>
      <c r="J6" s="47"/>
      <c r="K6" s="47"/>
      <c r="L6" s="47"/>
      <c r="M6" s="47"/>
      <c r="N6" s="47"/>
      <c r="O6" s="47"/>
      <c r="P6" s="47"/>
      <c r="Q6" s="47"/>
      <c r="R6" s="47"/>
      <c r="S6" s="47"/>
      <c r="T6" s="47"/>
      <c r="U6" s="47"/>
      <c r="V6" s="47"/>
      <c r="W6" s="47"/>
      <c r="X6" s="47"/>
      <c r="Y6" s="47"/>
      <c r="Z6" s="47"/>
    </row>
    <row r="7" ht="14.25" customHeight="1">
      <c r="A7" s="48" t="s">
        <v>1391</v>
      </c>
      <c r="B7" s="48" t="s">
        <v>1393</v>
      </c>
      <c r="C7" s="47"/>
      <c r="D7" s="47"/>
      <c r="E7" s="47"/>
      <c r="F7" s="47"/>
      <c r="G7" s="47"/>
      <c r="H7" s="47"/>
      <c r="I7" s="47"/>
      <c r="J7" s="47"/>
      <c r="K7" s="47"/>
      <c r="L7" s="47"/>
      <c r="M7" s="47"/>
      <c r="N7" s="47"/>
      <c r="O7" s="47"/>
      <c r="P7" s="47"/>
      <c r="Q7" s="47"/>
      <c r="R7" s="47"/>
      <c r="S7" s="47"/>
      <c r="T7" s="47"/>
      <c r="U7" s="47"/>
      <c r="V7" s="47"/>
      <c r="W7" s="47"/>
      <c r="X7" s="47"/>
      <c r="Y7" s="47"/>
      <c r="Z7" s="47"/>
    </row>
    <row r="8" ht="14.25" customHeight="1">
      <c r="A8" s="48" t="s">
        <v>1407</v>
      </c>
      <c r="B8" s="48" t="s">
        <v>1409</v>
      </c>
      <c r="C8" s="47"/>
      <c r="D8" s="47"/>
      <c r="E8" s="47"/>
      <c r="F8" s="47"/>
      <c r="G8" s="47"/>
      <c r="H8" s="47"/>
      <c r="I8" s="47"/>
      <c r="J8" s="47"/>
      <c r="K8" s="47"/>
      <c r="L8" s="47"/>
      <c r="M8" s="47"/>
      <c r="N8" s="47"/>
      <c r="O8" s="47"/>
      <c r="P8" s="47"/>
      <c r="Q8" s="47"/>
      <c r="R8" s="47"/>
      <c r="S8" s="47"/>
      <c r="T8" s="47"/>
      <c r="U8" s="47"/>
      <c r="V8" s="47"/>
      <c r="W8" s="47"/>
      <c r="X8" s="47"/>
      <c r="Y8" s="47"/>
      <c r="Z8" s="47"/>
    </row>
    <row r="9" ht="14.25" customHeight="1">
      <c r="A9" s="48" t="s">
        <v>1416</v>
      </c>
      <c r="B9" s="48" t="s">
        <v>1417</v>
      </c>
      <c r="C9" s="47"/>
      <c r="D9" s="47"/>
      <c r="E9" s="47"/>
      <c r="F9" s="47"/>
      <c r="G9" s="47"/>
      <c r="H9" s="47"/>
      <c r="I9" s="47"/>
      <c r="J9" s="47"/>
      <c r="K9" s="47"/>
      <c r="L9" s="47"/>
      <c r="M9" s="47"/>
      <c r="N9" s="47"/>
      <c r="O9" s="47"/>
      <c r="P9" s="47"/>
      <c r="Q9" s="47"/>
      <c r="R9" s="47"/>
      <c r="S9" s="47"/>
      <c r="T9" s="47"/>
      <c r="U9" s="47"/>
      <c r="V9" s="47"/>
      <c r="W9" s="47"/>
      <c r="X9" s="47"/>
      <c r="Y9" s="47"/>
      <c r="Z9" s="47"/>
    </row>
    <row r="10" ht="14.25" customHeight="1">
      <c r="A10" s="48" t="s">
        <v>1424</v>
      </c>
      <c r="B10" s="48" t="s">
        <v>1425</v>
      </c>
      <c r="C10" s="47"/>
      <c r="D10" s="47"/>
      <c r="E10" s="47"/>
      <c r="F10" s="47"/>
      <c r="G10" s="47"/>
      <c r="H10" s="47"/>
      <c r="I10" s="47"/>
      <c r="J10" s="47"/>
      <c r="K10" s="47"/>
      <c r="L10" s="47"/>
      <c r="M10" s="47"/>
      <c r="N10" s="47"/>
      <c r="O10" s="47"/>
      <c r="P10" s="47"/>
      <c r="Q10" s="47"/>
      <c r="R10" s="47"/>
      <c r="S10" s="47"/>
      <c r="T10" s="47"/>
      <c r="U10" s="47"/>
      <c r="V10" s="47"/>
      <c r="W10" s="47"/>
      <c r="X10" s="47"/>
      <c r="Y10" s="47"/>
      <c r="Z10" s="47"/>
    </row>
    <row r="11" ht="14.25" customHeight="1">
      <c r="A11" s="48" t="s">
        <v>1433</v>
      </c>
      <c r="B11" s="48" t="s">
        <v>1437</v>
      </c>
      <c r="C11" s="47"/>
      <c r="D11" s="47"/>
      <c r="E11" s="47"/>
      <c r="F11" s="47"/>
      <c r="G11" s="47"/>
      <c r="H11" s="47"/>
      <c r="I11" s="47"/>
      <c r="J11" s="47"/>
      <c r="K11" s="47"/>
      <c r="L11" s="47"/>
      <c r="M11" s="47"/>
      <c r="N11" s="47"/>
      <c r="O11" s="47"/>
      <c r="P11" s="47"/>
      <c r="Q11" s="47"/>
      <c r="R11" s="47"/>
      <c r="S11" s="47"/>
      <c r="T11" s="47"/>
      <c r="U11" s="47"/>
      <c r="V11" s="47"/>
      <c r="W11" s="47"/>
      <c r="X11" s="47"/>
      <c r="Y11" s="47"/>
      <c r="Z11" s="47"/>
    </row>
    <row r="12" ht="14.25" customHeight="1">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ht="14.25" customHeight="1">
      <c r="A13" s="49" t="s">
        <v>1452</v>
      </c>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ht="14.25" customHeight="1">
      <c r="A14" s="49" t="s">
        <v>1461</v>
      </c>
      <c r="B14" s="49" t="s">
        <v>1463</v>
      </c>
      <c r="C14" s="47"/>
      <c r="D14" s="47"/>
      <c r="E14" s="47"/>
      <c r="F14" s="47"/>
      <c r="G14" s="47"/>
      <c r="H14" s="47"/>
      <c r="I14" s="47"/>
      <c r="J14" s="47"/>
      <c r="K14" s="47"/>
      <c r="L14" s="47"/>
      <c r="M14" s="47"/>
      <c r="N14" s="47"/>
      <c r="O14" s="47"/>
      <c r="P14" s="47"/>
      <c r="Q14" s="47"/>
      <c r="R14" s="47"/>
      <c r="S14" s="47"/>
      <c r="T14" s="47"/>
      <c r="U14" s="47"/>
      <c r="V14" s="47"/>
      <c r="W14" s="47"/>
      <c r="X14" s="47"/>
      <c r="Y14" s="47"/>
      <c r="Z14" s="47"/>
    </row>
    <row r="15" ht="14.25" customHeight="1">
      <c r="A15" s="48" t="s">
        <v>1469</v>
      </c>
      <c r="B15" s="48" t="s">
        <v>1471</v>
      </c>
      <c r="C15" s="47"/>
      <c r="D15" s="47"/>
      <c r="E15" s="47"/>
      <c r="F15" s="47"/>
      <c r="G15" s="47"/>
      <c r="H15" s="47"/>
      <c r="I15" s="47"/>
      <c r="J15" s="47"/>
      <c r="K15" s="47"/>
      <c r="L15" s="47"/>
      <c r="M15" s="47"/>
      <c r="N15" s="47"/>
      <c r="O15" s="47"/>
      <c r="P15" s="47"/>
      <c r="Q15" s="47"/>
      <c r="R15" s="47"/>
      <c r="S15" s="47"/>
      <c r="T15" s="47"/>
      <c r="U15" s="47"/>
      <c r="V15" s="47"/>
      <c r="W15" s="47"/>
      <c r="X15" s="47"/>
      <c r="Y15" s="47"/>
      <c r="Z15" s="47"/>
    </row>
    <row r="16" ht="14.25" customHeight="1">
      <c r="A16" s="48" t="s">
        <v>1477</v>
      </c>
      <c r="B16" s="48" t="s">
        <v>1479</v>
      </c>
      <c r="C16" s="47"/>
      <c r="D16" s="47"/>
      <c r="E16" s="47"/>
      <c r="F16" s="47"/>
      <c r="G16" s="47"/>
      <c r="H16" s="47"/>
      <c r="I16" s="47"/>
      <c r="J16" s="47"/>
      <c r="K16" s="47"/>
      <c r="L16" s="47"/>
      <c r="M16" s="47"/>
      <c r="N16" s="47"/>
      <c r="O16" s="47"/>
      <c r="P16" s="47"/>
      <c r="Q16" s="47"/>
      <c r="R16" s="47"/>
      <c r="S16" s="47"/>
      <c r="T16" s="47"/>
      <c r="U16" s="47"/>
      <c r="V16" s="47"/>
      <c r="W16" s="47"/>
      <c r="X16" s="47"/>
      <c r="Y16" s="47"/>
      <c r="Z16" s="47"/>
    </row>
    <row r="17" ht="14.25" customHeight="1">
      <c r="A17" s="48" t="s">
        <v>1488</v>
      </c>
      <c r="B17" s="48" t="s">
        <v>1491</v>
      </c>
      <c r="C17" s="47"/>
      <c r="D17" s="47"/>
      <c r="E17" s="47"/>
      <c r="F17" s="47"/>
      <c r="G17" s="47"/>
      <c r="H17" s="47"/>
      <c r="I17" s="47"/>
      <c r="J17" s="47"/>
      <c r="K17" s="47"/>
      <c r="L17" s="47"/>
      <c r="M17" s="47"/>
      <c r="N17" s="47"/>
      <c r="O17" s="47"/>
      <c r="P17" s="47"/>
      <c r="Q17" s="47"/>
      <c r="R17" s="47"/>
      <c r="S17" s="47"/>
      <c r="T17" s="47"/>
      <c r="U17" s="47"/>
      <c r="V17" s="47"/>
      <c r="W17" s="47"/>
      <c r="X17" s="47"/>
      <c r="Y17" s="47"/>
      <c r="Z17" s="47"/>
    </row>
    <row r="18" ht="14.25" customHeight="1">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ht="14.25" customHeight="1">
      <c r="A19" s="49" t="s">
        <v>1503</v>
      </c>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ht="14.25" customHeight="1">
      <c r="A20" s="49" t="s">
        <v>1512</v>
      </c>
      <c r="B20" s="49" t="s">
        <v>1514</v>
      </c>
      <c r="C20" s="49" t="s">
        <v>1516</v>
      </c>
      <c r="D20" s="49" t="s">
        <v>1517</v>
      </c>
      <c r="E20" s="49" t="s">
        <v>1519</v>
      </c>
      <c r="F20" s="49" t="s">
        <v>1521</v>
      </c>
      <c r="G20" s="49" t="s">
        <v>1522</v>
      </c>
      <c r="H20" s="49" t="s">
        <v>1523</v>
      </c>
      <c r="I20" s="47"/>
      <c r="J20" s="47"/>
      <c r="K20" s="47"/>
      <c r="L20" s="47"/>
      <c r="M20" s="47"/>
      <c r="N20" s="47"/>
      <c r="O20" s="47"/>
      <c r="P20" s="47"/>
      <c r="Q20" s="47"/>
      <c r="R20" s="47"/>
      <c r="S20" s="47"/>
      <c r="T20" s="47"/>
      <c r="U20" s="47"/>
      <c r="V20" s="47"/>
      <c r="W20" s="47"/>
      <c r="X20" s="47"/>
      <c r="Y20" s="47"/>
      <c r="Z20" s="47"/>
    </row>
    <row r="21" ht="14.25" customHeight="1">
      <c r="A21" s="48" t="s">
        <v>1529</v>
      </c>
      <c r="B21" s="48" t="s">
        <v>1532</v>
      </c>
      <c r="C21" s="48" t="s">
        <v>1533</v>
      </c>
      <c r="D21" s="48" t="s">
        <v>1536</v>
      </c>
      <c r="E21" s="48" t="s">
        <v>1537</v>
      </c>
      <c r="F21" s="48" t="s">
        <v>1538</v>
      </c>
      <c r="G21" s="48" t="s">
        <v>1540</v>
      </c>
      <c r="H21" s="51" t="str">
        <f>HYPERLINK("https://notebooklm.google.com","https://notebooklm.google.com")</f>
        <v>https://notebooklm.google.com</v>
      </c>
      <c r="I21" s="47"/>
      <c r="J21" s="47"/>
      <c r="K21" s="47"/>
      <c r="L21" s="47"/>
      <c r="M21" s="47"/>
      <c r="N21" s="47"/>
      <c r="O21" s="47"/>
      <c r="P21" s="47"/>
      <c r="Q21" s="47"/>
      <c r="R21" s="47"/>
      <c r="S21" s="47"/>
      <c r="T21" s="47"/>
      <c r="U21" s="47"/>
      <c r="V21" s="47"/>
      <c r="W21" s="47"/>
      <c r="X21" s="47"/>
      <c r="Y21" s="47"/>
      <c r="Z21" s="47"/>
    </row>
    <row r="22" ht="14.25" customHeight="1">
      <c r="A22" s="48" t="s">
        <v>1565</v>
      </c>
      <c r="B22" s="48" t="s">
        <v>1532</v>
      </c>
      <c r="C22" s="48" t="s">
        <v>1533</v>
      </c>
      <c r="D22" s="48" t="s">
        <v>1570</v>
      </c>
      <c r="E22" s="48" t="s">
        <v>1537</v>
      </c>
      <c r="F22" s="48" t="s">
        <v>1572</v>
      </c>
      <c r="G22" s="48" t="s">
        <v>1576</v>
      </c>
      <c r="H22" s="51" t="str">
        <f>HYPERLINK("https://gemini.google.com","https://gemini.google.com")</f>
        <v>https://gemini.google.com</v>
      </c>
      <c r="I22" s="47"/>
      <c r="J22" s="47"/>
      <c r="K22" s="47"/>
      <c r="L22" s="47"/>
      <c r="M22" s="47"/>
      <c r="N22" s="47"/>
      <c r="O22" s="47"/>
      <c r="P22" s="47"/>
      <c r="Q22" s="47"/>
      <c r="R22" s="47"/>
      <c r="S22" s="47"/>
      <c r="T22" s="47"/>
      <c r="U22" s="47"/>
      <c r="V22" s="47"/>
      <c r="W22" s="47"/>
      <c r="X22" s="47"/>
      <c r="Y22" s="47"/>
      <c r="Z22" s="47"/>
    </row>
    <row r="23" ht="14.25" customHeight="1">
      <c r="A23" s="48" t="s">
        <v>1703</v>
      </c>
      <c r="B23" s="48" t="s">
        <v>1532</v>
      </c>
      <c r="C23" s="48" t="s">
        <v>1709</v>
      </c>
      <c r="D23" s="48" t="s">
        <v>1711</v>
      </c>
      <c r="E23" s="48" t="s">
        <v>1714</v>
      </c>
      <c r="F23" s="48" t="s">
        <v>1716</v>
      </c>
      <c r="G23" s="48" t="s">
        <v>1718</v>
      </c>
      <c r="H23" s="51" t="str">
        <f>HYPERLINK("https://plantnet.org","https://plantnet.org")</f>
        <v>https://plantnet.org</v>
      </c>
      <c r="I23" s="47"/>
      <c r="J23" s="47"/>
      <c r="K23" s="47"/>
      <c r="L23" s="47"/>
      <c r="M23" s="47"/>
      <c r="N23" s="47"/>
      <c r="O23" s="47"/>
      <c r="P23" s="47"/>
      <c r="Q23" s="47"/>
      <c r="R23" s="47"/>
      <c r="S23" s="47"/>
      <c r="T23" s="47"/>
      <c r="U23" s="47"/>
      <c r="V23" s="47"/>
      <c r="W23" s="47"/>
      <c r="X23" s="47"/>
      <c r="Y23" s="47"/>
      <c r="Z23" s="47"/>
    </row>
    <row r="24" ht="14.25" customHeight="1">
      <c r="A24" s="48" t="s">
        <v>1727</v>
      </c>
      <c r="B24" s="48" t="s">
        <v>1532</v>
      </c>
      <c r="C24" s="48" t="s">
        <v>1728</v>
      </c>
      <c r="D24" s="48" t="s">
        <v>1730</v>
      </c>
      <c r="E24" s="48" t="s">
        <v>1537</v>
      </c>
      <c r="F24" s="48" t="s">
        <v>1732</v>
      </c>
      <c r="G24" s="48" t="s">
        <v>1734</v>
      </c>
      <c r="H24" s="51" t="str">
        <f>HYPERLINK("https://www.inaturalist.org/pages/seek_app","https://www.inaturalist.org/pages/seek_app")</f>
        <v>https://www.inaturalist.org/pages/seek_app</v>
      </c>
      <c r="I24" s="47"/>
      <c r="J24" s="47"/>
      <c r="K24" s="47"/>
      <c r="L24" s="47"/>
      <c r="M24" s="47"/>
      <c r="N24" s="47"/>
      <c r="O24" s="47"/>
      <c r="P24" s="47"/>
      <c r="Q24" s="47"/>
      <c r="R24" s="47"/>
      <c r="S24" s="47"/>
      <c r="T24" s="47"/>
      <c r="U24" s="47"/>
      <c r="V24" s="47"/>
      <c r="W24" s="47"/>
      <c r="X24" s="47"/>
      <c r="Y24" s="47"/>
      <c r="Z24" s="47"/>
    </row>
    <row r="25" ht="14.25" customHeight="1">
      <c r="A25" s="48" t="s">
        <v>1748</v>
      </c>
      <c r="B25" s="48" t="s">
        <v>1532</v>
      </c>
      <c r="C25" s="48" t="s">
        <v>1728</v>
      </c>
      <c r="D25" s="48" t="s">
        <v>1753</v>
      </c>
      <c r="E25" s="48" t="s">
        <v>1537</v>
      </c>
      <c r="F25" s="48" t="s">
        <v>1756</v>
      </c>
      <c r="G25" s="48" t="s">
        <v>1758</v>
      </c>
      <c r="H25" s="51" t="str">
        <f>HYPERLINK("https://teachablemachine.withgoogle.com","https://teachablemachine.withgoogle.com")</f>
        <v>https://teachablemachine.withgoogle.com</v>
      </c>
      <c r="I25" s="47"/>
      <c r="J25" s="47"/>
      <c r="K25" s="47"/>
      <c r="L25" s="47"/>
      <c r="M25" s="47"/>
      <c r="N25" s="47"/>
      <c r="O25" s="47"/>
      <c r="P25" s="47"/>
      <c r="Q25" s="47"/>
      <c r="R25" s="47"/>
      <c r="S25" s="47"/>
      <c r="T25" s="47"/>
      <c r="U25" s="47"/>
      <c r="V25" s="47"/>
      <c r="W25" s="47"/>
      <c r="X25" s="47"/>
      <c r="Y25" s="47"/>
      <c r="Z25" s="47"/>
    </row>
    <row r="26" ht="14.25" customHeight="1">
      <c r="A26" s="48" t="s">
        <v>1767</v>
      </c>
      <c r="B26" s="48" t="s">
        <v>1532</v>
      </c>
      <c r="C26" s="48" t="s">
        <v>1728</v>
      </c>
      <c r="D26" s="48" t="s">
        <v>1770</v>
      </c>
      <c r="E26" s="48" t="s">
        <v>1537</v>
      </c>
      <c r="F26" s="48" t="s">
        <v>1771</v>
      </c>
      <c r="G26" s="48" t="s">
        <v>1773</v>
      </c>
      <c r="H26" s="51" t="str">
        <f>HYPERLINK("https://globalnaturewatch.org/dashboards/country/SLV/","https://globalnaturewatch.org/dashboards/country/SLV/")</f>
        <v>https://globalnaturewatch.org/dashboards/country/SLV/</v>
      </c>
      <c r="I26" s="47"/>
      <c r="J26" s="47"/>
      <c r="K26" s="47"/>
      <c r="L26" s="47"/>
      <c r="M26" s="47"/>
      <c r="N26" s="47"/>
      <c r="O26" s="47"/>
      <c r="P26" s="47"/>
      <c r="Q26" s="47"/>
      <c r="R26" s="47"/>
      <c r="S26" s="47"/>
      <c r="T26" s="47"/>
      <c r="U26" s="47"/>
      <c r="V26" s="47"/>
      <c r="W26" s="47"/>
      <c r="X26" s="47"/>
      <c r="Y26" s="47"/>
      <c r="Z26" s="47"/>
    </row>
    <row r="27" ht="14.25" customHeight="1">
      <c r="A27" s="48" t="s">
        <v>1786</v>
      </c>
      <c r="B27" s="48" t="s">
        <v>1532</v>
      </c>
      <c r="C27" s="48" t="s">
        <v>1709</v>
      </c>
      <c r="D27" s="48" t="s">
        <v>1770</v>
      </c>
      <c r="E27" s="48" t="s">
        <v>1714</v>
      </c>
      <c r="F27" s="48" t="s">
        <v>1790</v>
      </c>
      <c r="G27" s="48" t="s">
        <v>1791</v>
      </c>
      <c r="H27" s="51" t="str">
        <f>HYPERLINK("https://birdnet.cornell.edu","https://birdnet.cornell.edu")</f>
        <v>https://birdnet.cornell.edu</v>
      </c>
      <c r="I27" s="47"/>
      <c r="J27" s="47"/>
      <c r="K27" s="47"/>
      <c r="L27" s="47"/>
      <c r="M27" s="47"/>
      <c r="N27" s="47"/>
      <c r="O27" s="47"/>
      <c r="P27" s="47"/>
      <c r="Q27" s="47"/>
      <c r="R27" s="47"/>
      <c r="S27" s="47"/>
      <c r="T27" s="47"/>
      <c r="U27" s="47"/>
      <c r="V27" s="47"/>
      <c r="W27" s="47"/>
      <c r="X27" s="47"/>
      <c r="Y27" s="47"/>
      <c r="Z27" s="47"/>
    </row>
    <row r="28" ht="14.25" customHeight="1">
      <c r="A28" s="48" t="s">
        <v>1801</v>
      </c>
      <c r="B28" s="48" t="s">
        <v>1532</v>
      </c>
      <c r="C28" s="48" t="s">
        <v>1728</v>
      </c>
      <c r="D28" s="48" t="s">
        <v>1804</v>
      </c>
      <c r="E28" s="48" t="s">
        <v>1537</v>
      </c>
      <c r="F28" s="48" t="s">
        <v>1806</v>
      </c>
      <c r="G28" s="48" t="s">
        <v>1808</v>
      </c>
      <c r="H28" s="51" t="str">
        <f>HYPERLINK("https://climatetrace.org","https://climatetrace.org")</f>
        <v>https://climatetrace.org</v>
      </c>
      <c r="I28" s="47"/>
      <c r="J28" s="47"/>
      <c r="K28" s="47"/>
      <c r="L28" s="47"/>
      <c r="M28" s="47"/>
      <c r="N28" s="47"/>
      <c r="O28" s="47"/>
      <c r="P28" s="47"/>
      <c r="Q28" s="47"/>
      <c r="R28" s="47"/>
      <c r="S28" s="47"/>
      <c r="T28" s="47"/>
      <c r="U28" s="47"/>
      <c r="V28" s="47"/>
      <c r="W28" s="47"/>
      <c r="X28" s="47"/>
      <c r="Y28" s="47"/>
      <c r="Z28" s="47"/>
    </row>
    <row r="29" ht="14.25" customHeight="1">
      <c r="A29" s="48" t="s">
        <v>1819</v>
      </c>
      <c r="B29" s="48" t="s">
        <v>1532</v>
      </c>
      <c r="C29" s="48" t="s">
        <v>1728</v>
      </c>
      <c r="D29" s="48" t="s">
        <v>1804</v>
      </c>
      <c r="E29" s="48" t="s">
        <v>1537</v>
      </c>
      <c r="F29" s="48" t="s">
        <v>1825</v>
      </c>
      <c r="G29" s="48" t="s">
        <v>1826</v>
      </c>
      <c r="H29" s="51" t="str">
        <f>HYPERLINK("https://sites.research.google/floods/","https://sites.research.google/floods/")</f>
        <v>https://sites.research.google/floods/</v>
      </c>
      <c r="I29" s="47"/>
      <c r="J29" s="47"/>
      <c r="K29" s="47"/>
      <c r="L29" s="47"/>
      <c r="M29" s="47"/>
      <c r="N29" s="47"/>
      <c r="O29" s="47"/>
      <c r="P29" s="47"/>
      <c r="Q29" s="47"/>
      <c r="R29" s="47"/>
      <c r="S29" s="47"/>
      <c r="T29" s="47"/>
      <c r="U29" s="47"/>
      <c r="V29" s="47"/>
      <c r="W29" s="47"/>
      <c r="X29" s="47"/>
      <c r="Y29" s="47"/>
      <c r="Z29" s="47"/>
    </row>
    <row r="30" ht="14.25" customHeight="1">
      <c r="A30" s="48" t="s">
        <v>1833</v>
      </c>
      <c r="B30" s="48" t="s">
        <v>1532</v>
      </c>
      <c r="C30" s="48" t="s">
        <v>1834</v>
      </c>
      <c r="D30" s="48" t="s">
        <v>1835</v>
      </c>
      <c r="E30" s="48" t="s">
        <v>1836</v>
      </c>
      <c r="F30" s="48" t="s">
        <v>1837</v>
      </c>
      <c r="G30" s="48" t="s">
        <v>1838</v>
      </c>
      <c r="H30" s="51" t="str">
        <f>HYPERLINK("https://phet.colorado.edu/es","https://phet.colorado.edu/es")</f>
        <v>https://phet.colorado.edu/es</v>
      </c>
      <c r="I30" s="47"/>
      <c r="J30" s="47"/>
      <c r="K30" s="47"/>
      <c r="L30" s="47"/>
      <c r="M30" s="47"/>
      <c r="N30" s="47"/>
      <c r="O30" s="47"/>
      <c r="P30" s="47"/>
      <c r="Q30" s="47"/>
      <c r="R30" s="47"/>
      <c r="S30" s="47"/>
      <c r="T30" s="47"/>
      <c r="U30" s="47"/>
      <c r="V30" s="47"/>
      <c r="W30" s="47"/>
      <c r="X30" s="47"/>
      <c r="Y30" s="47"/>
      <c r="Z30" s="47"/>
    </row>
    <row r="31" ht="14.25" customHeight="1">
      <c r="A31" s="48" t="s">
        <v>1845</v>
      </c>
      <c r="B31" s="48" t="s">
        <v>1847</v>
      </c>
      <c r="C31" s="48" t="s">
        <v>1848</v>
      </c>
      <c r="D31" s="48" t="s">
        <v>1849</v>
      </c>
      <c r="E31" s="48" t="s">
        <v>1537</v>
      </c>
      <c r="F31" s="48" t="s">
        <v>1851</v>
      </c>
      <c r="G31" s="48" t="s">
        <v>1847</v>
      </c>
      <c r="H31" s="51" t="str">
        <f>HYPERLINK("https://grok.com","https://grok.com")</f>
        <v>https://grok.com</v>
      </c>
      <c r="I31" s="47"/>
      <c r="J31" s="47"/>
      <c r="K31" s="47"/>
      <c r="L31" s="47"/>
      <c r="M31" s="47"/>
      <c r="N31" s="47"/>
      <c r="O31" s="47"/>
      <c r="P31" s="47"/>
      <c r="Q31" s="47"/>
      <c r="R31" s="47"/>
      <c r="S31" s="47"/>
      <c r="T31" s="47"/>
      <c r="U31" s="47"/>
      <c r="V31" s="47"/>
      <c r="W31" s="47"/>
      <c r="X31" s="47"/>
      <c r="Y31" s="47"/>
      <c r="Z31" s="47"/>
    </row>
    <row r="32" ht="14.25" customHeight="1">
      <c r="A32" s="48" t="s">
        <v>1871</v>
      </c>
      <c r="B32" s="48" t="s">
        <v>1873</v>
      </c>
      <c r="C32" s="48" t="s">
        <v>1874</v>
      </c>
      <c r="D32" s="48" t="s">
        <v>1875</v>
      </c>
      <c r="E32" s="48" t="s">
        <v>1537</v>
      </c>
      <c r="F32" s="48" t="s">
        <v>1878</v>
      </c>
      <c r="G32" s="48" t="s">
        <v>1835</v>
      </c>
      <c r="H32" s="51" t="str">
        <f>HYPERLINK("https://copilot.microsoft.com","https://copilot.microsoft.com")</f>
        <v>https://copilot.microsoft.com</v>
      </c>
      <c r="I32" s="47"/>
      <c r="J32" s="47"/>
      <c r="K32" s="47"/>
      <c r="L32" s="47"/>
      <c r="M32" s="47"/>
      <c r="N32" s="47"/>
      <c r="O32" s="47"/>
      <c r="P32" s="47"/>
      <c r="Q32" s="47"/>
      <c r="R32" s="47"/>
      <c r="S32" s="47"/>
      <c r="T32" s="47"/>
      <c r="U32" s="47"/>
      <c r="V32" s="47"/>
      <c r="W32" s="47"/>
      <c r="X32" s="47"/>
      <c r="Y32" s="47"/>
      <c r="Z32" s="47"/>
    </row>
    <row r="33" ht="14.2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4.25" customHeight="1">
      <c r="A34" s="49" t="s">
        <v>1911</v>
      </c>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4.25" customHeight="1">
      <c r="A35" s="48" t="s">
        <v>1927</v>
      </c>
      <c r="B35" s="51" t="str">
        <f>HYPERLINK("https://www.centa.gob.sv","https://www.centa.gob.sv")</f>
        <v>https://www.centa.gob.sv</v>
      </c>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4.25" customHeight="1">
      <c r="A36" s="48" t="s">
        <v>1951</v>
      </c>
      <c r="B36" s="51" t="str">
        <f>HYPERLINK("https://www.snet.gob.sv","https://www.snet.gob.sv")</f>
        <v>https://www.snet.gob.sv</v>
      </c>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4.25" customHeight="1">
      <c r="A37" s="48" t="s">
        <v>1968</v>
      </c>
      <c r="B37" s="51" t="str">
        <f>HYPERLINK("https://globalnaturewatch.org/dashboards/country/SLV/","https://globalnaturewatch.org/dashboards/country/SLV/")</f>
        <v>https://globalnaturewatch.org/dashboards/country/SLV/</v>
      </c>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4.25" customHeight="1">
      <c r="A38" s="48" t="s">
        <v>2006</v>
      </c>
      <c r="B38" s="51" t="str">
        <f>HYPERLINK("https://www.inaturalist.org","https://www.inaturalist.org")</f>
        <v>https://www.inaturalist.org</v>
      </c>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4.25" customHeight="1">
      <c r="A39" s="48" t="s">
        <v>2024</v>
      </c>
      <c r="B39" s="51" t="str">
        <f>HYPERLINK("https://www.marn.gob.sv","https://www.marn.gob.sv")</f>
        <v>https://www.marn.gob.sv</v>
      </c>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4.25" customHeight="1">
      <c r="A40" s="48" t="s">
        <v>2041</v>
      </c>
      <c r="B40" s="51" t="str">
        <f>HYPERLINK("https://www.salud.gob.sv","https://www.salud.gob.sv")</f>
        <v>https://www.salud.gob.sv</v>
      </c>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4.25" customHeight="1">
      <c r="A41" s="48" t="s">
        <v>2066</v>
      </c>
      <c r="B41" s="51" t="str">
        <f>HYPERLINK("https://phet.colorado.edu/sims/html/balancing-chemical-equations/latest/balancing-chemical-equations_es.html","https://phet.colorado.edu/sims/html/balancing-chemical-equations/latest/balancing-chemical-equations_es.html")</f>
        <v>https://phet.colorado.edu/sims/html/balancing-chemical-equations/latest/balancing-chemical-equations_es.html</v>
      </c>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4.25" customHeight="1">
      <c r="A42" s="48" t="s">
        <v>2092</v>
      </c>
      <c r="B42" s="51" t="str">
        <f>HYPERLINK("https://phet.colorado.edu/sims/html/color-vision/latest/color-vision_es.html","https://phet.colorado.edu/sims/html/color-vision/latest/color-vision_es.html")</f>
        <v>https://phet.colorado.edu/sims/html/color-vision/latest/color-vision_es.html</v>
      </c>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4.25" customHeight="1">
      <c r="A43" s="48" t="s">
        <v>2115</v>
      </c>
      <c r="B43" s="51" t="str">
        <f>HYPERLINK("https://phet.colorado.edu/sims/html/diffusion/latest/diffusion_es.html","https://phet.colorado.edu/sims/html/diffusion/latest/diffusion_es.html")</f>
        <v>https://phet.colorado.edu/sims/html/diffusion/latest/diffusion_es.html</v>
      </c>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4.25" customHeight="1">
      <c r="A44" s="48" t="s">
        <v>2129</v>
      </c>
      <c r="B44" s="51" t="str">
        <f>HYPERLINK("https://phet.colorado.edu/sims/html/buoyancy-basics/latest/buoyancy-basics_es.html","https://phet.colorado.edu/sims/html/buoyancy-basics/latest/buoyancy-basics_es.html")</f>
        <v>https://phet.colorado.edu/sims/html/buoyancy-basics/latest/buoyancy-basics_es.html</v>
      </c>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4.25" customHeight="1">
      <c r="A45" s="48" t="s">
        <v>2143</v>
      </c>
      <c r="B45" s="51" t="str">
        <f>HYPERLINK("https://phet.colorado.edu/sims/html/greenhouse-effect/latest/greenhouse-effect_es.html","https://phet.colorado.edu/sims/html/greenhouse-effect/latest/greenhouse-effect_es.html")</f>
        <v>https://phet.colorado.edu/sims/html/greenhouse-effect/latest/greenhouse-effect_es.html</v>
      </c>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4.25" customHeight="1">
      <c r="A46" s="48" t="s">
        <v>2152</v>
      </c>
      <c r="B46" s="51" t="str">
        <f>HYPERLINK("https://phet.colorado.edu/sims/html/gas-properties/latest/gas-properties_es.html","https://phet.colorado.edu/sims/html/gas-properties/latest/gas-properties_es.html")</f>
        <v>https://phet.colorado.edu/sims/html/gas-properties/latest/gas-properties_es.html</v>
      </c>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4.25" customHeight="1">
      <c r="A47" s="48" t="s">
        <v>2165</v>
      </c>
      <c r="B47" s="51" t="str">
        <f>HYPERLINK("https://phet.colorado.edu/sims/html/gene-expression-essentials/latest/gene-expression-essentials_es.html","https://phet.colorado.edu/sims/html/gene-expression-essentials/latest/gene-expression-essentials_es.html")</f>
        <v>https://phet.colorado.edu/sims/html/gene-expression-essentials/latest/gene-expression-essentials_es.html</v>
      </c>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4.25" customHeight="1">
      <c r="A48" s="48" t="s">
        <v>2169</v>
      </c>
      <c r="B48" s="51" t="str">
        <f>HYPERLINK("https://phet.colorado.edu/sims/html/isotopes-and-atomic-mass/latest/isotopes-and-atomic-mass_es.html","https://phet.colorado.edu/sims/html/isotopes-and-atomic-mass/latest/isotopes-and-atomic-mass_es.html")</f>
        <v>https://phet.colorado.edu/sims/html/isotopes-and-atomic-mass/latest/isotopes-and-atomic-mass_es.html</v>
      </c>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4.25" customHeight="1">
      <c r="A49" s="48" t="s">
        <v>2174</v>
      </c>
      <c r="B49" s="51" t="str">
        <f>HYPERLINK("https://phet.colorado.edu/sims/html/ph-scale/latest/ph-scale_es.html","https://phet.colorado.edu/sims/html/ph-scale/latest/ph-scale_es.html")</f>
        <v>https://phet.colorado.edu/sims/html/ph-scale/latest/ph-scale_es.html</v>
      </c>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4.25" customHeight="1">
      <c r="A50" s="48" t="s">
        <v>2182</v>
      </c>
      <c r="B50" s="51" t="str">
        <f>HYPERLINK("https://phet.colorado.edu/sims/html/under-pressure/latest/under-pressure_es.html","https://phet.colorado.edu/sims/html/under-pressure/latest/under-pressure_es.html")</f>
        <v>https://phet.colorado.edu/sims/html/under-pressure/latest/under-pressure_es.html</v>
      </c>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4.25" customHeight="1">
      <c r="A51" s="48" t="s">
        <v>2185</v>
      </c>
      <c r="B51" s="51" t="str">
        <f>HYPERLINK("https://phet.colorado.edu/sims/html/natural-selection/latest/natural-selection_es.html","https://phet.colorado.edu/sims/html/natural-selection/latest/natural-selection_es.html")</f>
        <v>https://phet.colorado.edu/sims/html/natural-selection/latest/natural-selection_es.html</v>
      </c>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4.25" customHeight="1">
      <c r="A52" s="48" t="s">
        <v>1703</v>
      </c>
      <c r="B52" s="51" t="str">
        <f>HYPERLINK("https://plantnet.org","https://plantnet.org")</f>
        <v>https://plantnet.org</v>
      </c>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4.25" customHeight="1">
      <c r="A53" s="48" t="s">
        <v>2200</v>
      </c>
      <c r="B53" s="51" t="str">
        <f>HYPERLINK("https://teachablemachine.withgoogle.com","https://teachablemachine.withgoogle.com")</f>
        <v>https://teachablemachine.withgoogle.com</v>
      </c>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4.2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4.25" customHeight="1">
      <c r="A55" s="49" t="s">
        <v>2212</v>
      </c>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4.25" customHeight="1">
      <c r="A56" s="49" t="s">
        <v>2219</v>
      </c>
      <c r="B56" s="49" t="s">
        <v>2221</v>
      </c>
      <c r="C56" s="49" t="s">
        <v>2222</v>
      </c>
      <c r="D56" s="49" t="s">
        <v>2223</v>
      </c>
      <c r="E56" s="47"/>
      <c r="F56" s="47"/>
      <c r="G56" s="47"/>
      <c r="H56" s="47"/>
      <c r="I56" s="47"/>
      <c r="J56" s="47"/>
      <c r="K56" s="47"/>
      <c r="L56" s="47"/>
      <c r="M56" s="47"/>
      <c r="N56" s="47"/>
      <c r="O56" s="47"/>
      <c r="P56" s="47"/>
      <c r="Q56" s="47"/>
      <c r="R56" s="47"/>
      <c r="S56" s="47"/>
      <c r="T56" s="47"/>
      <c r="U56" s="47"/>
      <c r="V56" s="47"/>
      <c r="W56" s="47"/>
      <c r="X56" s="47"/>
      <c r="Y56" s="47"/>
      <c r="Z56" s="47"/>
    </row>
    <row r="57" ht="14.25" customHeight="1">
      <c r="A57" s="48" t="s">
        <v>2227</v>
      </c>
      <c r="B57" s="48" t="s">
        <v>2228</v>
      </c>
      <c r="C57" s="48" t="s">
        <v>2229</v>
      </c>
      <c r="D57" s="48" t="s">
        <v>2232</v>
      </c>
      <c r="E57" s="47"/>
      <c r="F57" s="47"/>
      <c r="G57" s="47"/>
      <c r="H57" s="47"/>
      <c r="I57" s="47"/>
      <c r="J57" s="47"/>
      <c r="K57" s="47"/>
      <c r="L57" s="47"/>
      <c r="M57" s="47"/>
      <c r="N57" s="47"/>
      <c r="O57" s="47"/>
      <c r="P57" s="47"/>
      <c r="Q57" s="47"/>
      <c r="R57" s="47"/>
      <c r="S57" s="47"/>
      <c r="T57" s="47"/>
      <c r="U57" s="47"/>
      <c r="V57" s="47"/>
      <c r="W57" s="47"/>
      <c r="X57" s="47"/>
      <c r="Y57" s="47"/>
      <c r="Z57" s="47"/>
    </row>
    <row r="58" ht="14.25" customHeight="1">
      <c r="A58" s="48" t="s">
        <v>2237</v>
      </c>
      <c r="B58" s="48" t="s">
        <v>2239</v>
      </c>
      <c r="C58" s="48" t="s">
        <v>2240</v>
      </c>
      <c r="D58" s="48" t="s">
        <v>2243</v>
      </c>
      <c r="E58" s="47"/>
      <c r="F58" s="47"/>
      <c r="G58" s="47"/>
      <c r="H58" s="47"/>
      <c r="I58" s="47"/>
      <c r="J58" s="47"/>
      <c r="K58" s="47"/>
      <c r="L58" s="47"/>
      <c r="M58" s="47"/>
      <c r="N58" s="47"/>
      <c r="O58" s="47"/>
      <c r="P58" s="47"/>
      <c r="Q58" s="47"/>
      <c r="R58" s="47"/>
      <c r="S58" s="47"/>
      <c r="T58" s="47"/>
      <c r="U58" s="47"/>
      <c r="V58" s="47"/>
      <c r="W58" s="47"/>
      <c r="X58" s="47"/>
      <c r="Y58" s="47"/>
      <c r="Z58" s="47"/>
    </row>
    <row r="59" ht="14.25" customHeight="1">
      <c r="A59" s="48" t="s">
        <v>2247</v>
      </c>
      <c r="B59" s="48" t="s">
        <v>2248</v>
      </c>
      <c r="C59" s="48" t="s">
        <v>2229</v>
      </c>
      <c r="D59" s="48" t="s">
        <v>2249</v>
      </c>
      <c r="E59" s="47"/>
      <c r="F59" s="47"/>
      <c r="G59" s="47"/>
      <c r="H59" s="47"/>
      <c r="I59" s="47"/>
      <c r="J59" s="47"/>
      <c r="K59" s="47"/>
      <c r="L59" s="47"/>
      <c r="M59" s="47"/>
      <c r="N59" s="47"/>
      <c r="O59" s="47"/>
      <c r="P59" s="47"/>
      <c r="Q59" s="47"/>
      <c r="R59" s="47"/>
      <c r="S59" s="47"/>
      <c r="T59" s="47"/>
      <c r="U59" s="47"/>
      <c r="V59" s="47"/>
      <c r="W59" s="47"/>
      <c r="X59" s="47"/>
      <c r="Y59" s="47"/>
      <c r="Z59" s="47"/>
    </row>
    <row r="60" ht="14.2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4.25" customHeight="1">
      <c r="A61" s="49" t="s">
        <v>2259</v>
      </c>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4.25" customHeight="1">
      <c r="A62" s="48" t="s">
        <v>2266</v>
      </c>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4.25" customHeight="1">
      <c r="A63" s="48" t="s">
        <v>2270</v>
      </c>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4.25" customHeight="1">
      <c r="A64" s="48" t="s">
        <v>2274</v>
      </c>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4.25" customHeight="1">
      <c r="A65" s="48" t="s">
        <v>2284</v>
      </c>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4.2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4.2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4.2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4.2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4.2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4.2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4.2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4.2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4.2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4.2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4.2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4.2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4.2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4.2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4.2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4.2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4.2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4.2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4.2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4.2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4.2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4.2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4.2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4.2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4.2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4.2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4.2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4.2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4.2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4.2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4.2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4.2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4.2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4.2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4.2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4.2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4.2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4.2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4.2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4.2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4.2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4.2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4.2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4.2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4.2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4.2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4.2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4.2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4.2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4.2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4.2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4.2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4.2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4.2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4.2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4.2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4.2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4.2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4.2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4.2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4.2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4.2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4.2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4.2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4.2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4.2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4.2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4.2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4.2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4.2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4.2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4.2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4.2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4.2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4.2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4.2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4.2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4.2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4.2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4.2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4.2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4.2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4.2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4.2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4.2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4.2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4.2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4.2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4.2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4.2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4.2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4.2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4.2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4.2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4.2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4.2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4.2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4.2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4.2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4.2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4.2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4.2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4.2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4.2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4.2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4.2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4.2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4.2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4.2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4.2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4.2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4.2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4.2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4.2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4.2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4.2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4.2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4.2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4.2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4.2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4.2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4.2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4.2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4.2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4.2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4.2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4.2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4.2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4.2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4.2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4.2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4.2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4.2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4.2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4.2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4.2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4.2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4.2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4.2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4.2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4.2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4.2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4.2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4.2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4.2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4.2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4.2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4.2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4.2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4.2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4.2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4.2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4.2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4.2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4.2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4.2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4.2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4.2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4.2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4.2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4.2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4.2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4.2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4.2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4.2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4.2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4.2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4.2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4.2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4.2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4.2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4.2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4.2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4.2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4.2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4.2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4.2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4.2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4.2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4.2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4.2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4.2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4.2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4.2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4.2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4.2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4.2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4.2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4.2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4.2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4.2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4.2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4.2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4.2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4.2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4.2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4.2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4.2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4.2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4.2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4.2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4.2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4.2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4.2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4.2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4.2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4.2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4.2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4.2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4.2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4.2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4.2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4.2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4.2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4.2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4.2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4.2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4.2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4.2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4.2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4.2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4.2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4.2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4.2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4.2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4.2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4.2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4.2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4.2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4.2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4.2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4.2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4.2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4.2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4.2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4.2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4.2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4.2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4.2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4.2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4.2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4.2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4.2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4.2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4.2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4.2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4.2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4.2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4.2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4.2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4.2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4.2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4.2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4.2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4.2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4.2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4.2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4.2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4.2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4.2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4.2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4.2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4.2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4.2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4.2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4.2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4.2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4.2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4.2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4.2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4.2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4.2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4.2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4.2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4.2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4.2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4.2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4.2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4.2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4.2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4.2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4.2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4.2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4.2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4.2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4.2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4.2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4.2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4.2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4.2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4.2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4.2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4.2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4.2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4.2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4.2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4.2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4.2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4.2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4.2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4.2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4.2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4.2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4.2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4.2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4.2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4.2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4.2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4.2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4.2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4.2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4.2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4.2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4.2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4.2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4.2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4.2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4.2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4.2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4.2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4.2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4.2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4.2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4.2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4.2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4.2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4.2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4.2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4.2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4.2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4.2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4.2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4.2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4.2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4.2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4.2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4.2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4.2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4.2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4.2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4.2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4.2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4.2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4.2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4.2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4.2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4.2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4.2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4.2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4.2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4.2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4.2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4.2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4.2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4.2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4.2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4.2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4.2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4.2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4.2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4.2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4.2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4.2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4.2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4.2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4.2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4.2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4.2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4.2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4.2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4.2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4.2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4.2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4.2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4.2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4.2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4.2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4.2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4.2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4.2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4.2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4.2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4.2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4.2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4.2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4.2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4.2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4.2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4.2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4.2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4.2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4.2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4.2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4.2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4.2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4.2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4.2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4.2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4.2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4.2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4.2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4.2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4.2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4.2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4.2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4.2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4.2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4.2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4.2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4.2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4.2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4.2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4.2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4.2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4.2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4.2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4.2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4.2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4.2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4.2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4.2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4.2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4.2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4.2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4.2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4.2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4.2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4.2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4.2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4.2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4.2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4.2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4.2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4.2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4.2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4.2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4.2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4.2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4.2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4.2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4.2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4.2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4.2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4.2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4.2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4.2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4.2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4.2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4.2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4.2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4.2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4.2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4.2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4.2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4.2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4.2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4.2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4.2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4.2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4.2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4.2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4.2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4.2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4.2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4.2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4.2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4.2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4.2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4.2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4.2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4.2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4.2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4.2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4.2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4.2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4.2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4.2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4.2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4.2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4.2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4.2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4.2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4.2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4.2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4.2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4.2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4.2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4.2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4.2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4.2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4.2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4.2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4.2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4.2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4.2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4.2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4.2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4.2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4.2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4.2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4.2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4.2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4.2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4.2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4.2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4.2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4.2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4.2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4.2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4.2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4.2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4.2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4.2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4.2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4.2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4.2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4.2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4.2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4.2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4.2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4.2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4.2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4.2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4.2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4.2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4.2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4.2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4.2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4.2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4.2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4.2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4.2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4.2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4.2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4.2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4.2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4.2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4.2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4.2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4.2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4.2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4.2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4.2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4.2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4.2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4.2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4.2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4.2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4.2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4.2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4.2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4.2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4.2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4.2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4.2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4.2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4.2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4.2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4.2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4.2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4.2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4.2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4.2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4.2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4.2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4.2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4.2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4.2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4.2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4.2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4.2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4.2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4.2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4.2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4.2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4.2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4.2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4.2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4.2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4.2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4.2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4.2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4.2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4.2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4.2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4.2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4.2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4.2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4.2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4.2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4.2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4.2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4.2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4.2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4.2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4.2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4.2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4.2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4.2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4.2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4.2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4.2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4.2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4.2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4.2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4.2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4.2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4.2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4.2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4.2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4.2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4.2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4.2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4.2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4.2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4.2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4.2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4.2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4.2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4.2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4.2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4.2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4.2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4.2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4.2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4.2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4.2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4.2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4.2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4.2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4.2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4.2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4.2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4.2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4.2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4.2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4.2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4.2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4.2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4.2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4.2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4.2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4.2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4.2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4.2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4.2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4.2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4.2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4.2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4.2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4.2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4.2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4.2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4.2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4.2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4.2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4.2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4.2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4.2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4.2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4.2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4.2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4.2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4.2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4.2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4.2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4.2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4.2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4.2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4.2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4.2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4.2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4.2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4.2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4.2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4.2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4.2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4.2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4.2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4.2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4.2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4.2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4.2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4.2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4.2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4.2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4.2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4.2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4.2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4.2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4.2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4.2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4.2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4.2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4.2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4.2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4.2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4.2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4.2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4.2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4.2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4.2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4.2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4.2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4.2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4.2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4.2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4.2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4.2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4.2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4.2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4.2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4.2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4.2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4.2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4.2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4.2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4.2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4.2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4.2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4.2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4.2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4.2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4.2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4.2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4.2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4.2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4.2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4.2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4.2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4.2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4.2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4.2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4.2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4.2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4.2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4.2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4.2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4.2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4.2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4.2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4.2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4.2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4.2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4.2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4.2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4.2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4.2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4.2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4.2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4.2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4.2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4.2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4.2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4.2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4.2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4.2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4.2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4.2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4.2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4.2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4.2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4.2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4.2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4.2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4.2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4.2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4.2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4.2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4.2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4.2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4.2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4.2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4.2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4.2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4.2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4.2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4.2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4.2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4.2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4.2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4.2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4.2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4.2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4.2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4.2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4.2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4.2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4.2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4.2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4.2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4.2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4.2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4.2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4.2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4.2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4.2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4.2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4.2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4.2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4.2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4.2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4.2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4.2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4.2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4.2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4.2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4.2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4.2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4.2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4.2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4.2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4.2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4.2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4.2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4.2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4.2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4.2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4.2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4.2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4.2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4.2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4.2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4.2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4.2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4.2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4.2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4.2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4.2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4.2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4.2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4.2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4.2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4.2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4.2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4.2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4.2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4.2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4.2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4.2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4.2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4.2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4.2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4.2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4.2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4.2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4.2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4.2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4.2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4.2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4.2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4.2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4.2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4.2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4.2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4.2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4.2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4.2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4.2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4.2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4.2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4.2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4.2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4.2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4.2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4.2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4.2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4.2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4.2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4.2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4.2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4.2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4.2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4.2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4.2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4.2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4.2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4.2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4.2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4.2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4.2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4.2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4.2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4.2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4.2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4.2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4.2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4.2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4.2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4.2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4.2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4.2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4.2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4.2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4.2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4.2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4.2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4.2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4.2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4.2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4.2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4.2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4.2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4.2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4.2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4.2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4.2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4.2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4.2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4.2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4.2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4.2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4.2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4.2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4.2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4.2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4.2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4.2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4.2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4.2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4.2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4.2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4.2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4.2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4.2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4.2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4.2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4.2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4.2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4.2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4.2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4.2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4.2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4.2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4.2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printOptions/>
  <pageMargins bottom="0.75" footer="0.0" header="0.0" left="0.5" right="0.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2026-10-05T04:26:28Z</dcterms:created>
  <dc:creator>openpyxl</dc:creator>
</cp:coreProperties>
</file>