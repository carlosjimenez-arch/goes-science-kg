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unidades" sheetId="1" r:id="rId4"/>
    <sheet state="visible" name="Física 10.°" sheetId="2" r:id="rId5"/>
    <sheet state="visible" name="Física 11.°" sheetId="3" r:id="rId6"/>
    <sheet state="visible" name="Microhabilidades PISA" sheetId="4" r:id="rId7"/>
    <sheet state="visible" name="Habilidades transversales" sheetId="5" r:id="rId8"/>
    <sheet state="visible" name="DigComp 3.0" sheetId="6" r:id="rId9"/>
    <sheet state="visible" name="Notas" sheetId="7" r:id="rId10"/>
    <sheet state="visible" name="Herramientas IA" sheetId="8" r:id="rId11"/>
  </sheets>
  <definedNames/>
  <calcPr/>
  <extLst>
    <ext uri="GoogleSheetsCustomDataVersion2">
      <go:sheetsCustomData xmlns:go="http://customooxmlschemas.google.com/" r:id="rId12" roundtripDataChecksum="Fbe9Ji2LvxA7ynXD/CN9spD1m5gASF5YuId66bDgmCw="/>
    </ext>
  </extLst>
</workbook>
</file>

<file path=xl/sharedStrings.xml><?xml version="1.0" encoding="utf-8"?>
<sst xmlns="http://schemas.openxmlformats.org/spreadsheetml/2006/main" count="1982" uniqueCount="1620">
  <si>
    <t>Malla de Física — Bachillerato (10.° y 11.° grado): mapa de unidades</t>
  </si>
  <si>
    <t>Código</t>
  </si>
  <si>
    <t>Unidad</t>
  </si>
  <si>
    <t>Base: malla oficial de Ciencia y Tecnología de El Salvador y base sugerida «Malla_Curricular_CyT_ajustada_TIMSS_PISA_2» (pestaña «Bachillerato - Física»). Detalle de las unidades nuevas: Planeadores Física I y II. La distribución horaria queda pendiente, por decisión del equipo.</t>
  </si>
  <si>
    <t>Contenido</t>
  </si>
  <si>
    <t>Subcontenidos</t>
  </si>
  <si>
    <t>Año</t>
  </si>
  <si>
    <t>Procedimental</t>
  </si>
  <si>
    <t>Competencia PISA 2025</t>
  </si>
  <si>
    <t>N.°</t>
  </si>
  <si>
    <t>Microhabilidad (marco PISA 2025)</t>
  </si>
  <si>
    <t>Cómo se ve en Bachillerato</t>
  </si>
  <si>
    <t>Indicador avanzado</t>
  </si>
  <si>
    <t>Eje integrador</t>
  </si>
  <si>
    <t>Fase donde más se trabaja</t>
  </si>
  <si>
    <t>Temas</t>
  </si>
  <si>
    <t>Actitudinal</t>
  </si>
  <si>
    <t>Fuente</t>
  </si>
  <si>
    <t xml:space="preserve">Horas </t>
  </si>
  <si>
    <t>E1</t>
  </si>
  <si>
    <t>Observaciones (superposiciones y ajustes)</t>
  </si>
  <si>
    <t>Criterio de agrupación</t>
  </si>
  <si>
    <t>1. Explicar fenómenos científicamente</t>
  </si>
  <si>
    <t>Microhabilidades PISA por fase de la secuencia didáctica (ver hoja «Microhabilidades PISA»)</t>
  </si>
  <si>
    <t>Recordar y aplicar el conocimiento científico apropiado</t>
  </si>
  <si>
    <t>1.° Bachillerato</t>
  </si>
  <si>
    <t>Recupera lo visto en grados anteriores y lo aplica con precisión a un fenómeno nuevo, con lenguaje y magnitudes científicas.</t>
  </si>
  <si>
    <t>Aproximar, Explicar</t>
  </si>
  <si>
    <t>E2</t>
  </si>
  <si>
    <t>Usar distintas formas de representación y pasar de una a otra</t>
  </si>
  <si>
    <t>Traduce entre texto, diagramas, gráficas, ecuaciones y tablas (p. ej., de una gráfica posición-tiempo a la ecuación del movimiento).</t>
  </si>
  <si>
    <t>Explicar</t>
  </si>
  <si>
    <t>E3</t>
  </si>
  <si>
    <t>Hacer y justificar predicciones y soluciones científicas</t>
  </si>
  <si>
    <t>Predice resultados cuantitativos o cualitativos antes de medir y justifica la predicción con un principio o modelo.</t>
  </si>
  <si>
    <t>Explorar, Reforzar</t>
  </si>
  <si>
    <t>E4</t>
  </si>
  <si>
    <t>Identificar, construir y evaluar modelos</t>
  </si>
  <si>
    <t>Construye modelos físicos, matemáticos o computacionales, los usa para explicar y señala sus supuestos y límites.</t>
  </si>
  <si>
    <t>Explicar, Indagar</t>
  </si>
  <si>
    <t>E5</t>
  </si>
  <si>
    <t>La física como ciencia</t>
  </si>
  <si>
    <t>Habilidad del siglo XXI
(foco del tema y fase)</t>
  </si>
  <si>
    <t>Reconocer y desarrollar hipótesis explicativas</t>
  </si>
  <si>
    <t>Formula hipótesis comprobables que relacionan variables y las distingue de simples conjeturas.</t>
  </si>
  <si>
    <t>Explorar</t>
  </si>
  <si>
    <t xml:space="preserve">Sistemas
</t>
  </si>
  <si>
    <t>E6</t>
  </si>
  <si>
    <t>Explicar las implicaciones del conocimiento científico para la sociedad</t>
  </si>
  <si>
    <t>Habilidad TIMSS</t>
  </si>
  <si>
    <t>Relaciona el contenido con problemas y decisiones de El Salvador (energía, agua, salud, riesgos, industria, ambiente).</t>
  </si>
  <si>
    <t>Aproximar, Reforzar</t>
  </si>
  <si>
    <t>D1</t>
  </si>
  <si>
    <t>2. Construir y evaluar diseños para la indagación científica e interpretar datos y evidencia de forma crítica</t>
  </si>
  <si>
    <t>Identificar la pregunta de una investigación científica</t>
  </si>
  <si>
    <t>Evidencia de aprendizaje</t>
  </si>
  <si>
    <t>Delimita una pregunta investigable y las variables que implica.</t>
  </si>
  <si>
    <t>1. Indagación y diseño experimental</t>
  </si>
  <si>
    <t>Planeador Física I</t>
  </si>
  <si>
    <t>D2</t>
  </si>
  <si>
    <t>Competencia marco MEN</t>
  </si>
  <si>
    <t>Proponer un diseño experimental apropiado</t>
  </si>
  <si>
    <t>Diseña el procedimiento: variables, controles, instrumentos, número de repeticiones y medidas de seguridad.</t>
  </si>
  <si>
    <t>Indagar</t>
  </si>
  <si>
    <t>Indicadores de logro</t>
  </si>
  <si>
    <t>Sin medición ni cifras significativas (en Química).</t>
  </si>
  <si>
    <t>D3</t>
  </si>
  <si>
    <t>Evaluar si un diseño es el adecuado para responder la pregunta</t>
  </si>
  <si>
    <t>Herramientas que se usan todo el año. Se priorizan el diseño experimental y el análisis de datos (PISA, competencia 2).</t>
  </si>
  <si>
    <t>Dominio clave</t>
  </si>
  <si>
    <t>Critica un diseño propio o ajeno (control de variables, fuentes de error, tamaño de muestra) y propone mejoras.</t>
  </si>
  <si>
    <t>Indagar, Reforzar</t>
  </si>
  <si>
    <t>D4</t>
  </si>
  <si>
    <t>Interpretar datos en distintas representaciones y sacar conclusiones apropiadas</t>
  </si>
  <si>
    <t>Competencia digital (DigComp 3.0)</t>
  </si>
  <si>
    <t>Procesa datos (tablas, gráficas, ajuste lineal, incertidumbre) y extrae conclusiones sustentadas y limitadas por los datos.</t>
  </si>
  <si>
    <t>I1</t>
  </si>
  <si>
    <t>3. Investigar, evaluar y usar información científica para tomar decisiones y actuar</t>
  </si>
  <si>
    <t>Actividad digital</t>
  </si>
  <si>
    <t>Buscar, evaluar y comunicar el valor de distintas fuentes de información</t>
  </si>
  <si>
    <t>Busca en fuentes científicas y oficiales (MARN, MINSAL, bases de datos) y valora su fiabilidad, autoría y actualidad.</t>
  </si>
  <si>
    <t>2. Análisis de datos y modelos</t>
  </si>
  <si>
    <t>I2</t>
  </si>
  <si>
    <t>Habilidad transversal
(vinculada a DigComp 3.0)</t>
  </si>
  <si>
    <t>Distinguir afirmaciones con evidencia, de expertos o no expertos, y opiniones</t>
  </si>
  <si>
    <t>Separa afirmaciones respaldadas por datos o por consenso experto de opiniones, publicidad o desinformación.</t>
  </si>
  <si>
    <t>I3</t>
  </si>
  <si>
    <t>Construir un argumento a partir de datos</t>
  </si>
  <si>
    <t>Argumenta una conclusión con datos propios o publicados, con afirmación, evidencia y razonamiento.</t>
  </si>
  <si>
    <t>Notación</t>
  </si>
  <si>
    <t xml:space="preserve">3. Magnitudes y unidades
</t>
  </si>
  <si>
    <t>I4</t>
  </si>
  <si>
    <t>Análisis dimensional y conversiones;</t>
  </si>
  <si>
    <t>Origen del contenido</t>
  </si>
  <si>
    <t>Criticar fallas comunes en argumentos científicos</t>
  </si>
  <si>
    <t>Detecta errores frecuentes: correlación tomada como causa, generalización con pocos datos, cifras sin unidades o sin incertidumbre.</t>
  </si>
  <si>
    <t>Reforzar</t>
  </si>
  <si>
    <t>I5</t>
  </si>
  <si>
    <t>4. Vectores</t>
  </si>
  <si>
    <t>Justificar decisiones con argumentos científicos, individuales o comunitarios</t>
  </si>
  <si>
    <t>Toma y defiende decisiones personales o comunitarias (consumo de energía, manejo de residuos, salud) con base científica.</t>
  </si>
  <si>
    <t xml:space="preserve"> vectores con mayor nivel que en 8.°.</t>
  </si>
  <si>
    <t>1. Aproximar
Un fenómeno del mundo real</t>
  </si>
  <si>
    <t>Secuencia didáctica y microhabilidades</t>
  </si>
  <si>
    <t>2. Explorar
Qué sabemos y qué queremos saber</t>
  </si>
  <si>
    <t>1. Aproximar</t>
  </si>
  <si>
    <t>3. Explicar
Ideas clave en video y actividades</t>
  </si>
  <si>
    <t>Cinemática en una y dos dimensiones</t>
  </si>
  <si>
    <t>4. Indagar
Analizar datos y responder preguntas</t>
  </si>
  <si>
    <t>5. Reforzar
Aplicar en nuevos contextos</t>
  </si>
  <si>
    <t>Un fenómeno del mundo real</t>
  </si>
  <si>
    <t>E1, E6: reconocer el fenómeno y conectarlo con lo visto antes y con el contexto salvadoreño.</t>
  </si>
  <si>
    <t xml:space="preserve">Interacciones
</t>
  </si>
  <si>
    <t>5. Descripción del movimiento y gráficas</t>
  </si>
  <si>
    <t>Eje integrador: sistemas</t>
  </si>
  <si>
    <t>2. Explorar</t>
  </si>
  <si>
    <t>Qué sabemos y qué queremos saber</t>
  </si>
  <si>
    <t>Una sola unidad de cinemática: 1D y 2D comparten las mismas ecuaciones; se quitan las deducciones redundantes.</t>
  </si>
  <si>
    <t>D1, E5, E3: formular la pregunta, plantear hipótesis y predecir.</t>
  </si>
  <si>
    <t>Eje integrador: energía</t>
  </si>
  <si>
    <t>1. La física como ciencia: indagación y herramientas</t>
  </si>
  <si>
    <t>3. Explicar</t>
  </si>
  <si>
    <t>Ideas clave en video y actividades</t>
  </si>
  <si>
    <t xml:space="preserve">6. Movimiento con aceleración constante
</t>
  </si>
  <si>
    <t>E1, E2, E4: construir la idea clave, representarla y modelarla.</t>
  </si>
  <si>
    <t>1. Oscilaciones, ondas mecánicas y sonido</t>
  </si>
  <si>
    <t>4. Indagar</t>
  </si>
  <si>
    <t>Indagación y diseño experimental</t>
  </si>
  <si>
    <t>Analizar datos y responder preguntas</t>
  </si>
  <si>
    <t>7. Caída libre</t>
  </si>
  <si>
    <t>D2, D3, D4, I1, I2, I3 (y E4): diseñar, evaluar el diseño, analizar datos y contrastar fuentes.</t>
  </si>
  <si>
    <t>Variable independiente
 Variable dependiente
 Variables controladas
 Pregunta investigable
 Hipótesis comprobable
 Predicción</t>
  </si>
  <si>
    <t>1.1. Formulación de preguntas investigables e hipótesis comprobables, y diseño de experimentos justos con control de las variables independiente, dependiente y controladas.</t>
  </si>
  <si>
    <t>Movimiento armónico simple</t>
  </si>
  <si>
    <t>Diseña investigaciones experimentales justas, linealiza datos e interpreta la pendiente y el intercepto, evalúa los límites de validez de un modelo y verifica la coherencia dimensional y vectorial de los resultados.</t>
  </si>
  <si>
    <t>5. Reforzar</t>
  </si>
  <si>
    <t>Aplicar en nuevos contextos</t>
  </si>
  <si>
    <t>8. Movimiento en el plano y proyectiles</t>
  </si>
  <si>
    <t>E3, E6, I4, I5 (y D3, I1, I2): transferir, criticar argumentos y tomar decisiones.</t>
  </si>
  <si>
    <t>Energía mecanica: cinetica mas potencial elástica
Conservación de la energía mecánica
Resorte ideal: Ley de Hooke
Círculo de referencia: Relacion entre MAS y MCU
Posición, velocidad y aceleración
Frecuencia angular y fase</t>
  </si>
  <si>
    <t>1.1. Determinación experimental de la constante elástica de un resorte, representación del MAS como proyección de un movimiento circular uniforme y cálculo de las energías del oscilador armónico.</t>
  </si>
  <si>
    <t>Curiosidad y rigor al formular preguntas comprobables sobre fenómenos físicos cotidianos. Honestidad en el registro y la comunicación de datos experimentales, y respeto en la revisión del trabajo de los pares.</t>
  </si>
  <si>
    <t>Modela oscilaciones y ondas mecánicas con sus magnitudes características y energía, explica la resonancia, la interferencia y las ondas estacionarias, y evalúa con datos los riesgos del ruido y el comportamiento de estructuras ante sismos.</t>
  </si>
  <si>
    <t>Fuente: OECD, PISA 2025 Science Framework (competencias y habilidades que las componen). Traducción propia al español. PISA evalúa a estudiantes de 15 años; en Bachillerato las microhabilidades se trabajan con mayor autonomía y tratamiento cuantitativo.</t>
  </si>
  <si>
    <t>Dinámica: leyes de Newton, movimiento circular y equilibrio</t>
  </si>
  <si>
    <t>E1 · Recuerda experiencias escolares en las que un resultado «salió raro» porque se cambiaron varias cosas a la vez.</t>
  </si>
  <si>
    <t>Rigor en la toma y el análisis de datos experimentales de oscilaciones. Conciencia sobre la importancia de considerar la resonancia y el amortiguamiento en la seguridad de edificios y puentes del país.</t>
  </si>
  <si>
    <t>E5 · Propone explicaciones de por qué dos carritos en rampas distintas llegan con diferente rapidez y reconoce cuántos factores podrían influir.</t>
  </si>
  <si>
    <t>E2 · Representa en una tabla de diseño la variable independiente, la dependiente, las controladas, sus unidades y el instrumento de medida de cada una.</t>
  </si>
  <si>
    <t>D2 · Diseña un experimento justo para investigar cómo el ángulo de una rampa afecta el tiempo de bajada de un carrito, con al menos cinco valores y tres repeticiones.</t>
  </si>
  <si>
    <t>D3 · Evalúa el diseño de otro equipo, detecta variables no controladas y propone cómo corregirlas antes de medir.</t>
  </si>
  <si>
    <t>Pensamiento crítico (Indagar)
 Justifica por qué su diseño permite atribuir los cambios del tiempo de bajada solo al ángulo de la rampa.</t>
  </si>
  <si>
    <t>E1 · Recuerda el trabajo de una fuerza variable y lo aplica al área bajo la gráfica fuerza-elongación de un resorte.</t>
  </si>
  <si>
    <t>Aplicar: identificar variables; formular hipótesis. Razonar: justificar el control de variables; evaluar si una pregunta es investigable</t>
  </si>
  <si>
    <t>Protocolo experimental con tabla de variables, procedimiento numerado y lista de materiales seguros</t>
  </si>
  <si>
    <t>INDAGACIÓN: Plantear preguntas e hipótesis comprobables sobre fenómenos físicos, controlar variables en el diseño de experimentos y analizar gráficas linealizadas para construir modelos físicos y reconocer sus límites de validez.</t>
  </si>
  <si>
    <t>E5 · Formula una hipótesis sobre dónde tiene más energía cinética un juguete saltarín con resorte durante su movimiento.</t>
  </si>
  <si>
    <t>E1 · Aplica las expresiones ½kx² y ½mv² para calcular las energías de un oscilador en el equilibrio, en los extremos y en puntos intermedios.</t>
  </si>
  <si>
    <t>9. Fuerza, masa y primera ley</t>
  </si>
  <si>
    <t>D4 · Interpreta una tabla de energías calculadas a partir de un video de un oscilador y concluye si la energía mecánica se conserva.</t>
  </si>
  <si>
    <t>1.1.
 • Diseña un experimento justo en el que modifica una sola variable independiente y justifica cómo mantiene constantes las variables controladas.
 • Transforma una pregunta general sobre un fenómeno físico en una hipótesis comprobable con una predicción medible.</t>
  </si>
  <si>
    <t>E6 · Explica cómo los amortiguadores de resorte de buses y camiones transforman energía y por qué eso importa para la seguridad vial.</t>
  </si>
  <si>
    <t>Leyes de Newton, circular y equilibrio forman un solo modelo (fuerza neta). De la rotación solo queda torque y equilibrio, útil para estructuras y riesgo sísmico.</t>
  </si>
  <si>
    <t>La física construye conocimiento mediante un ciclo de indagación en el que las preguntas se transforman en hipótesis comprobables, los datos se analizan con modelos matemáticos y los resultados se someten a la revisión de otros. Este modo de razonar permite a la sociedad tomar decisiones fundamentadas sobre tecnología, riesgos naturales y uso de la energía.</t>
  </si>
  <si>
    <t>Pensamiento crítico (Reforzar)
 Evalúa si las pérdidas de energía observadas en los datos se deben a errores de medición o a la fricción, y argumenta su postura.</t>
  </si>
  <si>
    <t>Conocer: recordar las expresiones de la energía potencial elástica y cinética; enunciar la ley de Hooke. Aplicar: calcular energías y verificar su conservación; calcular la constante elástica con la pendiente y predecir elongaciones; representar funciones sinusoidales. Razonar: relacionar movimiento circular y oscilatorio</t>
  </si>
  <si>
    <t>Tabla y gráfica de energías cinética, potencial y total en función de la posición con análisis escrito</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</si>
  <si>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</si>
  <si>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INDAGACIÓN: Analizar datos experimentales de sistemas masa-resorte y péndulos para deducir las relaciones entre período, masa, constante elástica y longitud, y explicar cómo el amortiguamiento y la resonancia afectan a estructuras y dispositivos de uso cotidiano.</t>
  </si>
  <si>
    <t>10. Segunda ley de Newton</t>
  </si>
  <si>
    <t>1.1.  • Calcula la energía potencial elástica y la energía cinética de un oscilador en cualquier posición y verifica que su suma se conserva.
 • Calcula la constante elástica de un resorte a partir de la pendiente de la gráfica fuerza-elongación y la usa para predecir elongaciones.
 • Representa gráficamente la posición, la velocidad y la aceleración de un oscilador armónico en función del tiempo a partir del círculo de referencia.</t>
  </si>
  <si>
    <t>11. Tercera ley, interacciones y gravitación</t>
  </si>
  <si>
    <t>Muchos sistemas físicos, desde un resorte hasta un edificio durante un sismo, oscilan alrededor de una posición de equilibrio cuando una fuerza restauradora actúa sobre ellos. El modelo del movimiento armónico simple permite predecir su período y su energía, y comprender el amortiguamiento y la resonancia es esencial para diseñar estructuras, instrumentos y amortiguadores seguros.</t>
  </si>
  <si>
    <r>
      <rPr>
        <rFont val="Arial"/>
        <color theme="1"/>
        <sz val="9.0"/>
      </rPr>
      <t>Revisar los permisos que solicita la aplicación phyphox antes de usar su cronómetro acústico y desactivar los que no se necesitan para el experimento.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Diseña un experimento justo para saber si el período de un péndulo de hilo y tuerca depende de la longitud: escribe la variable independiente, la dependiente y tres controladas. Luego pregúntale al cuaderno NotebookLM «¿Qué es un experimento justo y por qué se cambia una sola variable a la vez?». Haz el experimento y, aparte, una prueba cambiando longitud y masa a la vez: explica por qué esa prueba no permite concluir.
Evidencia: Ficha «Yo pienso · La IA dice · Lo comprobé»: tu tabla de variables; la definición del cuaderno rotulada «Respuesta de IA»; tus datos longitud-período y la prueba «injusta» comentada, con ✔ o ✘ para la IA. Línea en tu registro de uso de IA.
Refuerza con: PhET «Lab de péndulo» (https://phet.colorado.edu/sims/html/pendulum-lab/latest/pendulum-lab_es.html)
→ PISA D2 · TIMSS Razonar</t>
    </r>
  </si>
  <si>
    <t>Profundiza 8.°. Gravitación universal sin Kepler (Ciencias del espacio, 11.°).</t>
  </si>
  <si>
    <t>Uso ético de la información
 Explica al equipo qué datos personales podría recoger una aplicación de sensores y cómo limitar su acceso.
 ↳ Se trabaja en la actividad digital (DigComp 4.2).</t>
  </si>
  <si>
    <t>1.3 Gestión de la información – Básico</t>
  </si>
  <si>
    <t>12. Normal y rozamiento</t>
  </si>
  <si>
    <t>Organizar en una hoja de cálculo las posiciones y velocidades medidas y graficar automáticamente las tres energías.</t>
  </si>
  <si>
    <t xml:space="preserve">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variable independiente, en la unidad SI de la magnitud controlada. y: variable dependiente, en la unidad SI de la magnitud medida. a: pendiente de la recta de ajuste, en unidades de y sobre unidades de x. b: intercepto con el eje vertical, en unidades de y. R²: coeficiente de determinación del ajuste lineal, adimensional. </t>
  </si>
  <si>
    <t>Respeto al medio ambiente, entorno y territorio
 Reflexiona sobre cómo el almacenamiento de energía en resortes permite dispositivos mecánicos que no requieren baterías desechables.</t>
  </si>
  <si>
    <t>13. Aplicaciones de las leyes de Newton</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</si>
  <si>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Aceleración de la gravedad, 9.8 m/s².</t>
  </si>
  <si>
    <t>Nuevo (propuesta)</t>
  </si>
  <si>
    <t>Nuevo (planeador)</t>
  </si>
  <si>
    <t>14. Movimiento circular y órbitas</t>
  </si>
  <si>
    <t>Análisis de datos y modelos</t>
  </si>
  <si>
    <t>Satélites sin leyes de Kepler.</t>
  </si>
  <si>
    <t>Péndulo, amortiguamiento y resonancia</t>
  </si>
  <si>
    <t>Gráficas de dispersión
 Linealización
 Ajuste lineal: pendiente e intercepto
 Modelo de partícula
 Idealizaciones: superficie sin fricción
 Límites de validez</t>
  </si>
  <si>
    <t>1.2. Linealización de datos experimentales, interpretación física de la pendiente y el intercepto, y evaluación de los límites de validez de modelos idealizados.</t>
  </si>
  <si>
    <t>Frecuencia natural
Ecuación del péndulo simple como MAS
Período y aceleración de la gravedad
Oscilaciones forzadas: Resonancia
Fuerza de amortiguamiento
Amortiguamiento débil, crítico y sobreamortiguado
Módulo de Young de materiales de construcción
 Esfuerzo de ruptura y diseño sismorresistente</t>
  </si>
  <si>
    <t>1.2. Determinación de g con un péndulo simple, análisis del amortiguamiento y explicación de la resonancia y de su papel en el diseño sismorresistente con distintos materiales de construcción.</t>
  </si>
  <si>
    <t>E1 · Recuerda de 8.° el significado de la pendiente en una gráfica y lo relaciona con la proporcionalidad directa.</t>
  </si>
  <si>
    <t>E6 · Analiza por qué un edificio puede sufrir más daño que otros durante un sismo en San Salvador según su altura y su frecuencia natural.</t>
  </si>
  <si>
    <t>E3 · Predice la forma de la gráfica de iluminancia contra distancia a una lámpara y justifica por qué no espera una recta.</t>
  </si>
  <si>
    <t>E3 · Predice qué ocurre con la amplitud de un péndulo si se empuja siempre en el momento adecuado y justifica su predicción.</t>
  </si>
  <si>
    <t>E2 · Transforma los datos de iluminancia contra distancia en una gráfica de iluminancia contra 1/d² para obtener una relación lineal.</t>
  </si>
  <si>
    <t>E4 · Usa el modelo de oscilador forzado para explicar la curva de amplitud frente a frecuencia y el papel del amortiguamiento en el pico de resonancia.</t>
  </si>
  <si>
    <t>D4 · Interpreta la pendiente del ajuste como una medida de la intensidad de la fuente y el intercepto como la luz ambiental del aula.</t>
  </si>
  <si>
    <t>I1 · Busca y compara fuentes confiables sobre la resonancia en las mareas y en el colapso de puentes históricos.</t>
  </si>
  <si>
    <t>E6 · Explica cómo el análisis de la iluminancia ayuda a planificar el alumbrado público eficiente en un municipio salvadoreño.</t>
  </si>
  <si>
    <t>I4 · Critica afirmaciones exageradas que circulan en redes sociales sobre la resonancia y distingue lo que la física sí respalda.</t>
  </si>
  <si>
    <t>Colaboración (Explicar)
 Distribuye en el equipo las tareas de medir, registrar, graficar y verificar, y rota los roles en cada serie de datos.</t>
  </si>
  <si>
    <t>15. Torque y equilibrio del sólido rígido</t>
  </si>
  <si>
    <t>Comunicación (Aproximar)
 Explica oralmente al grupo, con un video corto de péndulos acoplados, qué observa cuando coinciden las frecuencias.</t>
  </si>
  <si>
    <t>Aplicar: construir gráficas y calcular pendientes; comparar predicciones con datos. Razonar: interpretar parámetros del ajuste; evaluar modelos</t>
  </si>
  <si>
    <t>Gráfica linealizada I contra 1/d² con ecuación de ajuste, R² e interpretación escrita de pendiente e intercepto</t>
  </si>
  <si>
    <t>Conocer: definir frecuencia natural. Aplicar: linealizar y calcular; ajustar una función exponencial; comparar valores y calcular. Razonar: explicar la resonancia en casos reales; evaluar incertidumbres y supuestos del modelo; comparar modelos de oscilación; argumentar decisiones de diseño</t>
  </si>
  <si>
    <t>Ficha de análisis de un caso real de resonancia con curva de amplitud y fuentes citadas</t>
  </si>
  <si>
    <t>1.2.
 • Linealiza una relación no lineal entre dos magnitudes e interpreta el significado físico de la pendiente y del intercepto de la recta de ajuste.
 • Explica qué idealizaciones supone un modelo físico y determina, con datos, en qué condiciones deja de ser válido.</t>
  </si>
  <si>
    <t>1.2.  • Explica la resonancia como la transferencia máxima de energía cuando la frecuencia de la fuerza impulsora coincide con la frecuencia natural del sistema.
 • Determina la aceleración de la gravedad a partir de la gráfica del período al cuadrado en función de la longitud de un péndulo y evalúa la validez de la aproximación de ángulos pequeños.
 • Compara el movimiento armónico simple con el amortiguado a partir de gráficas de amplitud en función del tiempo y estima la constante de amortiguamiento.
 • Argumenta, con valores de módulo de Young y esfuerzo de ruptura, por qué el concreto reforzado con acero es adecuado para construcciones sismorresistentes en El Salvador.</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</si>
  <si>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</si>
  <si>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1.2 Evaluación de la información – Básico</t>
  </si>
  <si>
    <t>Evaluar la fiabilidad de dos fuentes digitales sobre un caso de resonancia comparando autoría, fecha y evidencia presentada.</t>
  </si>
  <si>
    <t>Trabajo, energía y momento</t>
  </si>
  <si>
    <t>Uso ético de la información
 Distingue información verificada de afirmaciones sin sustento y cita correctamente las fuentes que consulta.
 ↳ Se trabaja en la actividad digital (DigComp 1.2).</t>
  </si>
  <si>
    <r>
      <rPr>
        <rFont val="Arial"/>
        <color theme="1"/>
        <sz val="9.0"/>
      </rPr>
      <t>Organizar en una hoja de cálculo las mediciones del luxómetro de phyphox, calcular 1/d² y obtener la línea de tendencia con su ecuación y R².</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Mide el período T de tu péndulo con cinco longitudes L (10 oscilaciones cada vez). Grafica T² contra L, traza la recta y calcula a mano la pendiente y el intercepto. Luego pega solo tu tabla en la IA y pídele «Calcula la pendiente y el intercepto por mínimos cuadrados y muestra cada paso con unidades». Revisa cada operación: ¿usó T o T²? ¿puso unidades? Con tu pendiente calcula g.
Evidencia: Ficha «Yo pienso · La IA dice · Lo comprobé»: tu gráfica, pendiente e intercepto con unidades; el cálculo rotulado «Respuesta de IA»; el error que encontraste (si hubo) y tu valor de g comparado con el simulador, con ✔ o ✘ para la IA. Línea en tu registro de uso de IA.
Refuerza con: PhET «Lab de péndulo» (https://phet.colorado.edu/sims/html/pendulum-lab/latest/pendulum-lab_es.html)
→ PISA E6 · TIMSS Aplicar</t>
    </r>
  </si>
  <si>
    <t>Nuevo (planeador) + Nuevo (propuesta)</t>
  </si>
  <si>
    <t>Respeto al medio ambiente, entorno y territorio
 Propone una medida de ahorro de energía en la iluminación del aula a partir de la relación entre distancia e iluminancia.</t>
  </si>
  <si>
    <t xml:space="preserve"> Energía
</t>
  </si>
  <si>
    <t>Ondas mecánicas y el sonido como onda</t>
  </si>
  <si>
    <t>Ondas mecanicas armonicas, rapidez de propagacion 
Longitud de onda, frecuencia y período
Ondas transversales en cuerdas
Velocidad de una onda en una cuerda, tension y densidad lineal
Transporte de energía
 Sonido, onda longitudinal: Compresiones y rarefacciones, tono y frecuencia audible
 Velocidad del sonido en gases, líquidos y sólidos
 Dependencia de la temperatura</t>
  </si>
  <si>
    <t>Magnitudes y unidades</t>
  </si>
  <si>
    <t>1.3. Clasificación de ondas mecánicas, medición de su velocidad de propagación en cuerdas y análisis del sonido como onda longitudinal de presión cuya velocidad depende del medio.</t>
  </si>
  <si>
    <t>Factores de conversión
 Conversiones encadenadas
 Unidades en la resolución de problemas
 Magnitudes fundamentales y derivadas de la mecánica
 Dimensiones [L], [M], [T]
 Análisis dimensional</t>
  </si>
  <si>
    <t>1.3. Análisis dimensional de ecuaciones físicas y resolución de problemas en contexto con conversiones encadenadas de unidades.</t>
  </si>
  <si>
    <t>16. Trabajo y energía cinética</t>
  </si>
  <si>
    <t>E1 · Recuerda cómo se afina una guitarra tensando sus cuerdas y lo relaciona con lo visto en 8.° sobre la frecuencia en cuerdas.</t>
  </si>
  <si>
    <t>E5 · Formula una hipótesis sobre cómo cambia la rapidez de un pulso al tensar más la cuerda o al usar una cuerda más gruesa.</t>
  </si>
  <si>
    <t>E6 · Reconoce que un error de conversión de unidades puede tener consecuencias graves, como el caso de la sonda Mars Climate Orbiter.</t>
  </si>
  <si>
    <t>E1 · Aplica la expresión v = √(F_T/μ) para calcular la velocidad de ondas en cuerdas de distinto material y tensión.</t>
  </si>
  <si>
    <t>D1 · Pregunta guía: «¿Cuántos metros cúbicos por segundo necesita llevar el río Lempa para llenar en un día el embalse de una central hidroeléctrica?».</t>
  </si>
  <si>
    <t>Trabajo, energía y momento: principios de conservación, núcleo de TIMSS Advanced «Mecánica».</t>
  </si>
  <si>
    <t>D2 · Propone un diseño con una cuerda larga, masas colgantes y grabación en video para medir la velocidad de un pulso.</t>
  </si>
  <si>
    <t>E1 · Aplica factores unitarios encadenados para convertir km/h a m/s, L/min a m³/s y quintales de café a kilogramos.</t>
  </si>
  <si>
    <t>D3 · Evalúa las fuentes de error del montaje y propone cómo mejorar la medición del tiempo de recorrido del pulso.</t>
  </si>
  <si>
    <t>I3 · Argumenta con datos de caudal publicados por el MARN si una afirmación periodística sobre el volumen del Lempa es plausible.</t>
  </si>
  <si>
    <t>Colaboración (Indagar)
 Organiza con su equipo la toma de video, la medición de la cuerda y el cálculo, y acuerda cómo resolver discrepancias.</t>
  </si>
  <si>
    <t>E3 · Estima el orden de magnitud de un resultado antes de calcularlo y justifica si el valor obtenido es razonable.</t>
  </si>
  <si>
    <t>Colaboración (Indagar)
 Resuelve en parejas un problema de conversión en el que uno calcula y el otro verifica las unidades en cada paso, y luego intercambian roles.</t>
  </si>
  <si>
    <t>Conocer: clasificar ondas; describir el movimiento armónico de cada punto del medio; describir ondas sonoras. Aplicar: medir y calcular velocidades; interpretar registros sísmicos; calcular con v = λf; interpretar formas de onda. Razonar: contrastar datos con un modelo; relacionar velocidad con propiedades del medio</t>
  </si>
  <si>
    <t>Conocer: recordar factores de conversión del SI; recordar las dimensiones de las magnitudes fundamentales. Aplicar: convertir unidades encadenadas y verificar la coherencia del resultado; comprobar la homogeneidad dimensional. Razonar: detectar ecuaciones mal planteadas</t>
  </si>
  <si>
    <t>Informe con tabla de tensiones, densidades y velocidades medidas y teóricas, y porcentaje de error</t>
  </si>
  <si>
    <t>Resolución escrita de tres problemas contextualizados con cadena de factores de conversión y comprobación de unidades</t>
  </si>
  <si>
    <t>17. Conservación de la energía mecánica</t>
  </si>
  <si>
    <t>1.3.
 • Resuelve problemas en contexto que requieren varias conversiones encadenadas de unidades y verifica la coherencia de las unidades del resultado.
 • Comprueba la homogeneidad dimensional de una ecuación física y detecta ecuaciones mal planteadas por sus dimensiones.</t>
  </si>
  <si>
    <t>1.3.  • Determina experimentalmente cómo influyen la tensión y la densidad lineal de una cuerda en la velocidad de la onda y compara el resultado con el teorico
 • Clasifica ondas mecánicas del entorno como transversales o longitudinales y explica que transportan energía sin transporte neto de materia.
 • Explica que cada punto de una onda periódica oscila con movimiento armónico simple y aplica la relación teorica de la velocidad de onda armonica para calcular magnitudes de la onda.
 • Explica la formación del sonido como una sucesión de compresiones y rarefacciones y relaciona su frecuencia con el tono percibido.
 • Calcula la velocidad del sonido en diferentes medios y temperaturas y explica su relación con la elasticidad y la densidad del medio.</t>
  </si>
  <si>
    <r>
      <rPr>
        <rFont val="Arial"/>
        <color theme="1"/>
        <sz val="9.0"/>
      </rPr>
      <t>3.4 Pensamiento computacional y programación – Básico</t>
    </r>
    <r>
      <rPr>
        <rFont val="Arial"/>
        <color rgb="FF7030A0"/>
        <sz val="9.0"/>
      </rPr>
      <t xml:space="preserve">
Con la IA (DigComp 3.0, nivel real): CS1.2.13 – Intermedio: valora qué tan confiable es una fuente, teniendo en cuenta el papel de la IA.</t>
    </r>
  </si>
  <si>
    <t>2.4 Colaboración a través de tecnologías digitales – Básico</t>
  </si>
  <si>
    <t>Trabajar en un documento compartido para consolidar los datos de todos los equipos y construir una gráfica común.</t>
  </si>
  <si>
    <t>Convivir
 Valora las contribuciones de cada integrante y distribuye de manera justa las tareas del experimento.
 ↳ Se trabaja en la actividad digital (DigComp 2.4).</t>
  </si>
  <si>
    <t>18. Potencia, eficiencia y transformaciones</t>
  </si>
  <si>
    <r>
      <rPr>
        <rFont val="Arial"/>
        <color theme="1"/>
        <sz val="9.0"/>
      </rPr>
      <t>Programar en una hoja de cálculo un convertidor que encadene factores unitarios y probarlo con casos cuya respuesta ya se conoce.</t>
    </r>
    <r>
      <rPr>
        <rFont val="Arial"/>
        <color rgb="FF7030A0"/>
        <sz val="9.0"/>
      </rPr>
      <t xml:space="preserve">
IA (Indagar · el estudiante, solo o en pareja).
Herramienta y medio: Google Flood Hub (sites.research.google/floods) en el navegador, sin cuenta.
Actividad: Abre Google Flood Hub, busca un punto del río Lempa o del Grande de San Miguel y anota el caudal pronosticado con su unidad. Antes, estima cuántas piscinas de 50 × 25 × 2 m pasarían por ahí en un día. Convierte con factores unitarios encadenados a L/s, m³/día y piscinas/día. Compara el pronóstico de la IA con el dato observado en el Observatorio de Amenazas del MARN.
Evidencia: Ficha «Yo pienso · La IA dice · Lo comprobé»: tu estimación; el caudal pronosticado rotulado «Respuesta de IA»; tus conversiones con cada factor unitario y el dato observado del MARN, con ✔ o ✘ para el pronóstico. Línea en tu registro de uso de IA.
Refuerza con: Observatorio de Amenazas (MARN): pronóstico, calidad del aire, hidrología (https://www.snet.gob.sv)
→ PISA I3 · TIMSS Razonar</t>
    </r>
  </si>
  <si>
    <t>Convivir
 Comparte con el grupo su convertidor y acepta las correcciones de sus compañeros cuando detectan un error en una fórmula.
 ↳ Se trabaja en la actividad digital (DigComp 3.4).</t>
  </si>
  <si>
    <t>Intensidad sonora y efecto Doppler</t>
  </si>
  <si>
    <t>Potencia sonora
Intensidad y ley del inverso del cuadrado
Umbral de audición
Escala de decibelios: Nivel de intensidad sonora
Efecto Doppler
 Protección auditiva</t>
  </si>
  <si>
    <t>Vectores</t>
  </si>
  <si>
    <t>1.4. Cálculo de la intensidad y del nivel sonoro en decibelios, análisis del efecto Doppler y evaluación de los riesgos de la exposición prolongada al ruido.</t>
  </si>
  <si>
    <t>19. Impulso, momento y colisiones</t>
  </si>
  <si>
    <t>Suma de varios vectores por componentes
 Resultante en notación con vectores unitarios
 Problemas vectoriales en contexto
 Magnitudes escalares y vectoriales
 Módulo, dirección y sentido
 Notación polar y rumbos
 Suma y resta gráfica
 Método del polígono y del paralelogramo
 Leyes del seno y del coseno
 Componentes rectangulares en los cuatro cuadrantes
 Módulo y dirección a partir de componentes
 Vectores unitarios î, ĵ</t>
  </si>
  <si>
    <t>E6 · Analiza el ruido del tráfico en una calle concurrida de su municipio y su efecto en la concentración de estudiantes.</t>
  </si>
  <si>
    <t>1.4. Representación, descomposición y suma de vectores por métodos gráficos, componentes y vectores unitarios en situaciones de navegación y de fuerzas.</t>
  </si>
  <si>
    <t>D1 · Pregunta guía: «¿Por qué 20 dB más no significa el doble de ruido sino una intensidad cien veces mayor?».</t>
  </si>
  <si>
    <t>E1 · Aplica la fórmula de nivel de intensidad para convertir intensidades en decibelios y calcular el nivel de dos fuentes sonando juntas.</t>
  </si>
  <si>
    <t>I3 · Argumenta con los datos medidos en distintos lugares de la escuela cuáles espacios superan los niveles recomendados para aprender.</t>
  </si>
  <si>
    <t>E6 · Reconoce que los equipos de rescate en zonas de deslizamiento combinan varios desplazamientos para ubicar a las personas afectadas.</t>
  </si>
  <si>
    <t>I5 · Justifica acciones concretas para reducir el ruido en el aula y en el entorno escolar basándose en su mapa de niveles sonoros.</t>
  </si>
  <si>
    <t>E3 · Predice la dirección aproximada de la resultante de tres desplazamientos de un dron antes de calcularla y compara al final.</t>
  </si>
  <si>
    <t>Comunicación (Reforzar)
 Presenta a la comunidad educativa un mapa de niveles sonoros de la escuela con conclusiones claras y propuestas.</t>
  </si>
  <si>
    <t>E2 · Organiza en una tabla las componentes x e y de tres o más vectores, suma cada columna y expresa la resultante con î y ĵ.</t>
  </si>
  <si>
    <t>D4 · Interpreta la resultante obtenida para indicar el rumbo y la distancia que debe volar el dron para regresar al punto de partida.</t>
  </si>
  <si>
    <t>Conocer: definir el nivel de intensidad sonora en decibelios; recordar los umbrales de audición y de dolor; describir el efecto Doppler con frentes de onda. Aplicar: calcular y comparar niveles sonoros; calcular intensidades a distintas distancias; calcular frecuencias percibidas; leer gráficas logarítmicas. Razonar: argumentar medidas de protección</t>
  </si>
  <si>
    <t>Mecánica de fluidos</t>
  </si>
  <si>
    <t>Mapa de niveles sonoros de la escuela con cálculos en decibelios y propuestas de reducción de ruido</t>
  </si>
  <si>
    <t>I5 · Justifica la elección del método por componentes frente al gráfico cuando intervienen más de dos vectores.</t>
  </si>
  <si>
    <t>Comunicación (Explicar)
 Presenta la solución de un problema de rescate con un diagrama claro, la tabla de componentes y la respuesta en rumbo y distancia.</t>
  </si>
  <si>
    <t>Tecnologia</t>
  </si>
  <si>
    <t>Conocer: diferenciar escalares y vectores; recordar las leyes del seno y del coseno; reconocer los signos de las componentes en cada cuadrante. Aplicar: sumar vectores por componentes; representar vectores a escala; obtener el módulo y la dirección de la suma y la resta de vectores; descomponer y reconstruir vectores con vectores unitarios. Razonar: interpretar la resultante en contexto</t>
  </si>
  <si>
    <t>1.4.  • Calcula niveles de intensidad sonora con β = 10 log(I/I₀) y compara intensidades de fuentes que difieren en un número dado de decibelios.
 • Calcula la intensidad sonora a distintas distancias de una fuente con I = P/(4πr²) y la compara con el umbral de audición y el umbral de dolor.
 • Calcula la frecuencia percibida por un observador cuando la fuente o el observador se mueven y explica el efecto Doppler con frentes de onda.
 • Interpreta las curvas de Fletcher-Munson para explicar la diferente sensibilidad del oído según la frecuencia y argumenta medidas de protección auditiva.</t>
  </si>
  <si>
    <t>Solución de un problema de rescate con tabla de componentes, resultante en notación î, ĵ y rumbo de regreso</t>
  </si>
  <si>
    <t>2.3 Participación ciudadana a través de tecnologías digitales – Básico</t>
  </si>
  <si>
    <t>Publicar el mapa de ruido en el aula virtual como aporte a una consulta escolar sobre la mejora del ambiente sonoro.</t>
  </si>
  <si>
    <t>1.4.
 • Resuelve problemas en contexto con tres o más vectores en direcciones arbitrarias, obteniendo la resultante por componentes y expresándola en forma polar.
 • Representa magnitudes vectoriales con escala, notación polar y rumbo geográfico, y las distingue de las escalares.
 • Obtiene el módulo y la dirección de la suma y la resta de dos vectores con ángulos arbitrarios aplicando las leyes del seno y del coseno.
 • Calcula las componentes de vectores en cualquier cuadrante y reconstruye su módulo y dirección a partir de las componentes, expresándolos con vectores unitarios.</t>
  </si>
  <si>
    <t>Convivir
 Mide el ruido de los espacios sin generar ruido adicional ni interrumpir las clases de otros grupos.
 ↳ Se trabaja en la actividad digital (DigComp 2.3).</t>
  </si>
  <si>
    <t>20. Densidad y presión</t>
  </si>
  <si>
    <r>
      <rPr>
        <rFont val="Arial"/>
        <color theme="1"/>
        <sz val="9.0"/>
      </rPr>
      <t>5.4 Identificación y atención de necesidades de competencia digital – Básico</t>
    </r>
    <r>
      <rPr>
        <rFont val="Arial"/>
        <color rgb="FF7030A0"/>
        <sz val="9.0"/>
      </rPr>
      <t xml:space="preserve">
Con la IA (DigComp 3.0, nivel real): CS1.2.10 – Intermedio: reconoce que la IA puede dar respuestas equivocadas que parecen ciertas y que quien la usa debe verificarlas.</t>
    </r>
  </si>
  <si>
    <t xml:space="preserve">Profundiza la hidrostática de 9.°; </t>
  </si>
  <si>
    <t>Superposición e interferencia</t>
  </si>
  <si>
    <t>Hidrostática e hidrodinámica con contextos tecnológicos locales (riego, redes de agua).</t>
  </si>
  <si>
    <t>Interferencia de ondas sonoras: Diferencia de camino
Superposición de pulsos: Cancelación activa de ruido
Interferencia constructiva y destructiva de pulsos
Difracción de ondas
Dispersión estrecha y ancha
Relación entre abertura y longitud de onda
Pulsaciones: Frecuencia de pulsación
 Afinación de instrumentos</t>
  </si>
  <si>
    <t>1.5. Análisis de la superposición de pulsos, de la interferencia y la difracción de ondas mecánicas y cálculo de la frecuencia de pulsación entre dos sonidos.</t>
  </si>
  <si>
    <r>
      <rPr>
        <rFont val="Arial"/>
        <color theme="1"/>
        <sz val="9.0"/>
      </rPr>
      <t>Identificar qué funciones de GeoGebra necesita dominar para comprobar sumas de varios vectores y practicarlas con un tutorial guiado.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Planea un recorrido de un repartidor en tu municipio con tres tramos (módulo y dirección) y resuelve tú la resultante por componentes con î y ĵ. Después pídele a la IA «Suma estos tres vectores por componentes y da la resultante con módulo y dirección». Compara componente por componente y localiza cualquier signo o ángulo equivocado. Comprueba con un dibujo a escala.
Evidencia: Ficha «Yo pienso · La IA dice · Lo comprobé»: tu tabla de componentes y la resultante; la solución rotulada «Respuesta de IA»; el dibujo a escala y los errores señalados, con ✔ o ✘ para la IA. Línea en tu registro de uso de IA.
→ PISA D4 · TIMSS Razonar</t>
    </r>
  </si>
  <si>
    <t>Respeto al medio ambiente, entorno y territorio
 Relaciona el monitoreo de laderas con drones con la protección del territorio y la prevención de desastres en su comunidad.</t>
  </si>
  <si>
    <t>E6 · Reconoce cómo funcionan los audífonos con cancelación de ruido que usan trabajadores de aeropuertos y de fábricas.</t>
  </si>
  <si>
    <t>D1 · Pregunta guía: «¿Por qué al caminar frente a dos parlantes que emiten el mismo tono el sonido se oye fuerte y débil alternadamente?».</t>
  </si>
  <si>
    <t>U2 - Aplicar temas · AplicarAplicar h - Eje integrador: interacciones</t>
  </si>
  <si>
    <t>21. Principios de Pascal y de Arquímedes</t>
  </si>
  <si>
    <t>E2 · Relaciona las condiciones Δr = nλ y Δr = (n + ½)λ con diagramas de frentes de onda de dos fuentes.</t>
  </si>
  <si>
    <t>D4 · Interpreta las posiciones de los mínimos medidas frente a dos parlantes pequeños a volumen moderado y calcula la longitud de onda del tono.</t>
  </si>
  <si>
    <t>D3 · Evalúa si la separación entre parlantes y los ecos del aula permitieron distinguir los mínimos y propone mejoras al montaje.</t>
  </si>
  <si>
    <t>Pensamiento crítico (Indagar)
 Compara la longitud de onda obtenida con la calculada a partir de la frecuencia y explica las diferencias con base en los ecos del aula.</t>
  </si>
  <si>
    <t>Conocer: definir interferencia constructiva y destructiva; enunciar el principio de superposición; describir el fenómeno de pulsación y su uso en la afinación. Aplicar: determinar sus condiciones con la diferencia de camino; construir la forma resultante de pulsos superpuestos; comparar λ con la abertura; calcular frecuencias de pulsación. Razonar: explicar con el principio de Huygens</t>
  </si>
  <si>
    <t>2. Cinemática en una y dos dimensiones</t>
  </si>
  <si>
    <t>Esquema del montaje con posiciones de máximos y mínimos medidas y cálculo de la longitud de onda</t>
  </si>
  <si>
    <t>22. Continuidad y Bernoulli</t>
  </si>
  <si>
    <t>1.5. • Determina las condiciones de interferencia constructiva y destructiva de dos fuentes sonoras coherentes a partir de la diferencia de camino y la longitud de onda.
 • Construye gráficamente la forma resultante de dos pulsos superpuestos en distintos instantes aplicando el principio de superposición lineal.
 • Explica cómo la relación entre la longitud de onda y el tamaño de la abertura determina si una onda mecánica se difracta de forma estrecha o ancha.
 • Calcula la frecuencia de pulsación entre dos tonos cercanos con y explica su uso en la afinación de instrumentos musicales.</t>
  </si>
  <si>
    <t>énfasis en hidrodinámica. Aplicación biológica en Biología 11.°.</t>
  </si>
  <si>
    <t>Descripción del movimiento y gráficas</t>
  </si>
  <si>
    <t>5.1 Identificación y resolución de problemas técnicos – Básico</t>
  </si>
  <si>
    <t>Resolver problemas de desfase y de conexión entre el generador de tonos del teléfono y los parlantes para obtener fuentes coherentes.</t>
  </si>
  <si>
    <t>Convivir
 Mantiene el volumen moderado durante el experimento para no afectar a otros grupos ni a las aulas vecinas.</t>
  </si>
  <si>
    <t>Gráficas x-t, v-t y a-t
 Pendientes y áreas
 Movimientos por tramos
 Sistema de referencia
 Vector posición
 Desplazamiento Δx
 Rapidez media y velocidad media
 Velocidad instantánea
 Pendiente de la gráfica posición-tiempo</t>
  </si>
  <si>
    <t>2.1. Descripción del movimiento rectilíneo con desplazamiento y velocidad media e instantánea, e interpretación coherente de gráficas posición-tiempo, velocidad-tiempo y aceleración-tiempo.</t>
  </si>
  <si>
    <t>Temperatura, calor y termodinámica</t>
  </si>
  <si>
    <t>Modela movimientos rectilíneos y en el plano con aceleración constante, incluidos la caída libre y los proyectiles, combinando ecuaciones y el análisis de pendientes y áreas en gráficas obtenidas con datos reales.</t>
  </si>
  <si>
    <t>Ondas estacionarias y música</t>
  </si>
  <si>
    <t>Ondas estacionarias en cuerdas
Nodos y antinodos: Armónicos
Ondas estacionarias en columnas de aire:  Tubos abiertos y cerrados
Resonancia en tubos
Analizador de espectro</t>
  </si>
  <si>
    <t xml:space="preserve">Energía
</t>
  </si>
  <si>
    <t>Responsabilidad vial basada en la comprensión física de la rapidez, el tiempo de reacción y la distancia de frenado. Rigor en la obtención y el análisis de datos de movimiento con sensores y video.</t>
  </si>
  <si>
    <t>1.6. Cálculo de armónicos en cuerdas y tubos abiertos y cerrados, y análisis del espectro de frecuencias de instrumentos musicales.</t>
  </si>
  <si>
    <t>E1 · Recuerda lo aprendido en 8.° sobre el sonido en tubos y lo relaciona con el sonido de una botella al soplar sobre ella.</t>
  </si>
  <si>
    <t>23. Temperatura y dilatación</t>
  </si>
  <si>
    <t>E5 · Formula una hipótesis sobre por qué la nota de una botella cambia al llenarla con agua.</t>
  </si>
  <si>
    <t>E1 · Recuerda de 8.° el significado de la pendiente y del área en las gráficas del movimiento rectilíneo.</t>
  </si>
  <si>
    <t>E2 · Representa los patrones de desplazamiento del aire en tubos abiertos y cerrados y obtiene las expresiones de sus armónicos.</t>
  </si>
  <si>
    <t>Profundiza «Calor y temperatura» de 9.°.</t>
  </si>
  <si>
    <t>D4 · Interpreta las frecuencias de resonancia medidas en un tubo con distintas alturas de agua y concluye la velocidad del sonido.</t>
  </si>
  <si>
    <t>Calor, gases y termodinámica en secuencia: de la temperatura a las máquinas térmicas y la geotermia.</t>
  </si>
  <si>
    <t>E3 · Predice la frecuencia fundamental de una flauta o un pito de caña y justifica si se comporta como tubo abierto o cerrado.</t>
  </si>
  <si>
    <t>E3 · Predice la forma de la gráfica v-t de un compañero que camina, se detiene y regresa, antes de registrarla con un sensor o video.</t>
  </si>
  <si>
    <t>Pensamiento crítico (Explorar)
 Examina críticamente si la botella se comporta como tubo cerrado ideal y qué supuestos del modelo no se cumplen.</t>
  </si>
  <si>
    <t>E2 · Transforma una gráfica v-t de varios tramos en las gráficas x-t y a-t correspondientes usando áreas y pendientes.</t>
  </si>
  <si>
    <t>D4 · Interpreta la gráfica v-t obtenida con Tracker del recorrido de un compañero y calcula el desplazamiento de cada tramo por el área bajo la curva.</t>
  </si>
  <si>
    <t>Conocer: identificar nodos y antinodos; definir el timbre. Aplicar: calcular frecuencias de resonancia; calcular las frecuencias de los armónicos; interpretar espectros de frecuencia. Razonar: comparar tubos abiertos y cerrados; explicar el timbre a partir de la amplitud de los armónicos</t>
  </si>
  <si>
    <t>I4 · Critica gráficas de movimiento imposibles, como una posición con dos valores en el mismo instante, y explica por qué no son físicas.</t>
  </si>
  <si>
    <t>Tabla de alturas de columna de aire y frecuencias medidas con gráfica y cálculo de la velocidad del sonido</t>
  </si>
  <si>
    <t>Comunicación (Explicar)
 Narra una historia de movimiento a partir de una gráfica v-t dada, usando vocabulario preciso de velocidad y aceleración.</t>
  </si>
  <si>
    <t>24. Calor y calorimetría</t>
  </si>
  <si>
    <t>1.6.  • Calcula las frecuencias de resonancia de tubos abiertos y cerrados y explica por qué los tubos cerrados solo producen armónicos impares.
 • Calcula las frecuencias de los armónicos de una cuerda tensa fija en sus extremos y localiza sus nodos y antinodos.
 • Interpreta el espectro de frecuencias de un sonido complejo para explicar el timbre de un instrumento a partir de la amplitud de sus armónicos.</t>
  </si>
  <si>
    <t>Conocer: diferenciar posición y desplazamiento; diferenciar rapidez media y velocidad media. Aplicar: construir gráficas; calcular desplazamientos por tramos; estimar la velocidad instantánea con la pendiente de la tangente. Razonar: relacionar pendientes y áreas entre gráficas; analizar la dependencia del sistema de referencia</t>
  </si>
  <si>
    <t>2.1 Interacción a través de y con tecnologías digitales – Básico</t>
  </si>
  <si>
    <t>Conjunto de tres gráficas coherentes x-t, v-t y a-t de un movimiento por tramos con cálculos de áreas y pendientes</t>
  </si>
  <si>
    <t>Interactuar en el foro del aula virtual para comparar las frecuencias medidas por cada equipo y discutir las diferencias.</t>
  </si>
  <si>
    <t>INDAGACIÓN: Obtener y analizar datos de posición, velocidad y aceleración de móviles reales mediante sensores y análisis de video, para modelar el movimiento rectilíneo con ecuaciones y gráficas y predecir su comportamiento.</t>
  </si>
  <si>
    <t>Respeto al medio ambiente, entorno y territorio
 Usa botellas reutilizadas en el experimento y aprovecha el agua sobrante para regar las plantas de la escuela.</t>
  </si>
  <si>
    <t>25. Transferencia de calor</t>
  </si>
  <si>
    <t>Eje integrador: interacciones</t>
  </si>
  <si>
    <t>2.1. • Construye, a partir de una de ellas, las otras dos gráficas del movimiento (x-t, v-t, a-t) para un móvil con varios tramos, usando pendientes y áreas.
 • Calcula el desplazamiento de un móvil en varios tramos rectilíneos con signo, y explica cómo cambian las posiciones, pero no el desplazamiento, al cambiar el origen del sistema de referencia.
 • Diferencia la rapidez media de la velocidad media en recorridos reales y estima la velocidad instantánea con la pendiente de la tangente en una gráfica posición-tiempo.</t>
  </si>
  <si>
    <t>La cinemática describe cómo cambian la posición y la velocidad de los cuerpos en el tiempo mediante ecuaciones y gráficas que permiten predecir el movimiento. Estas herramientas sustentan decisiones de seguridad vial, el diseño de sistemas de transporte y la comprensión de fenómenos como la caída de objetos.</t>
  </si>
  <si>
    <t>26. Gas ideal y teoría cinética</t>
  </si>
  <si>
    <t>Sin mol y difusión, en Química.</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</si>
  <si>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CS1.2.08 – Intermedio: reconoce que los datos con que se entrena una IA influyen en qué tan confiable es.</t>
    </r>
  </si>
  <si>
    <t>2. Electrostática</t>
  </si>
  <si>
    <t>27. Primera ley de la termodinámica</t>
  </si>
  <si>
    <r>
      <rPr>
        <rFont val="Arial"/>
        <color theme="1"/>
        <sz val="9.0"/>
      </rPr>
      <t>Activar el modo de ahorro de energía durante la grabación y el análisis en Tracker, y eliminar los videos innecesarios para reducir el almacenamiento en la nube.</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Dibuja 15 gráficas v-t de cada clase: «acelera», «frena» y «velocidad constante». Entrena un modelo de imágenes en Teachable Machine. Antes de probarlo, escribe qué crees que pasará si le muestras una gráfica x-t parábola. Pruébalo con gráficas nuevas, incluidas x-t y a-t. Anota sus errores y explica por qué el modelo mira la forma y no lo que dicen los ejes.
Evidencia: Ficha «Yo pienso · La IA dice · Lo comprobé»: tu predicción; lo que clasificó el modelo en cada prueba rotulado «Respuesta de IA»; la interpretación física correcta de cada gráfica, con ✔ o ✘ para el modelo. Línea en tu registro de uso de IA.
→ PISA D4 · TIMSS Razonar</t>
    </r>
  </si>
  <si>
    <t>Sin termoquímica (en Química).</t>
  </si>
  <si>
    <t>Respeto al medio ambiente, entorno y territorio
 Reflexiona sobre el consumo energético asociado al almacenamiento digital y adopta prácticas para reducirlo.
 ↳ Se trabaja en la actividad digital (DigComp 4.4).</t>
  </si>
  <si>
    <t>Carga eléctrica y electrización</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</si>
  <si>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Aceleración de la gravedad, 9.8 m/s² cerca de la superficie terrestre. Se adopta un eje con origen y sentido positivo definidos; los signos de las variables cinematicas indican su sentido respecto de ese eje.</t>
  </si>
  <si>
    <t>Carga por contacto y por inducción. Conservación de la carga
Polarización y electricidad estática
Estructura atómica y carga. Cuantización de la carga
Unidad de carga: el culombio
Aplicaciones de la fuerza electrostática: Conductores, aislantes y semiconductores</t>
  </si>
  <si>
    <t>2.1. Relación de la estructura atómica con la carga cuantizada y su conservación, clasificación de conductores y aislantes y comparación de la carga por contacto y por inducción.</t>
  </si>
  <si>
    <t>28. Segunda ley y máquinas térmicas</t>
  </si>
  <si>
    <t>Explica y cuantifica las interacciones entre cargas con la ley de Coulomb, el campo y el potencial eléctricos, y aplica estos modelos a condensadores y tecnologías cotidianas.</t>
  </si>
  <si>
    <t>Movimiento con aceleración constante</t>
  </si>
  <si>
    <t>Problemas de varias etapas
 Tiempo de reacción y distancia de frenado
 Encuentro entre dos móviles
 Aceleración media
 Aceleración instantánea
 Signo de la aceleración y cambio de rapidez
 Ecuaciones de la cinemática
 Área bajo la gráfica velocidad-tiempo
 Ecuación independiente del tiempo</t>
  </si>
  <si>
    <t>2.2. Cálculo de la aceleración y resolución de problemas con las ecuaciones del movimiento con aceleración constante, como distancias de frenado y de seguridad vial.</t>
  </si>
  <si>
    <t>Precaución y responsabilidad en el trabajo con fenómenos eléctricos, usando solo materiales de electrostática y fuentes de bajo voltaje. Interés por las aplicaciones tecnológicas de la electrostática.</t>
  </si>
  <si>
    <t>E6 · Reconoce que la distancia de detención de un vehículo incluye el tramo recorrido durante el tiempo de reacción del conductor.</t>
  </si>
  <si>
    <t>E3 · Predice cuánto aumenta la distancia de detención al duplicar la rapidez de un vehículo y justifica su predicción con la ecuación v² = v₀² + 2aΔx.</t>
  </si>
  <si>
    <t>E1 · Aplica las ecuaciones de la cinemática por etapas para calcular la distancia de reacción, la de frenado y la total a distintas rapideces.</t>
  </si>
  <si>
    <t>I3 · Argumenta con sus cálculos si la distancia de seguridad recomendada entre vehículos es suficiente en una carretera mojada.</t>
  </si>
  <si>
    <t>I2 · Distingue entre recomendaciones de seguridad vial basadas en datos físicos y afirmaciones populares sin respaldo.</t>
  </si>
  <si>
    <t>Pensamiento crítico (Indagar)
 Analiza críticamente los supuestos de su modelo de frenado, como aceleración constante y tiempo de reacción fijo, y cómo afectan la conclusión.</t>
  </si>
  <si>
    <t>Óptica</t>
  </si>
  <si>
    <t>Conocer: definir la aceleración media y el significado de su signo; identificar la ecuación adecuada según las variables conocidas. Aplicar: resolver problemas de varias etapas; calcular la aceleración media con datos experimentales. Razonar: argumentar con resultados numéricos; deducir las ecuaciones del MRUA a partir de la pendiente y el área de la gráfica v-t</t>
  </si>
  <si>
    <t>Tabla y gráfica de distancia de detención contra rapidez con argumentación sobre distancias de seguridad</t>
  </si>
  <si>
    <t>E1 · Recuerda la pequeña descarga que siente al tocar una perilla metálica después de caminar sobre una alfombra en época seca.</t>
  </si>
  <si>
    <t>Interacciones</t>
  </si>
  <si>
    <t>2.2.  • Resuelve problemas de varias etapas con las ecuaciones de la cinemática, como la distancia total de detención de un vehículo o el tiempo de encuentro entre dos móviles.
 • Calcula la aceleración media de un móvil a partir de datos experimentales y determina, según los signos de velocidad y aceleración, si el móvil acelera o frena.
 • Deduce las ecuaciones del movimiento rectilíneo uniformemente acelerado a partir de la pendiente y el área de la gráfica velocidad-tiempo, e identifica la ecuación adecuada según las variables conocidas.</t>
  </si>
  <si>
    <t>D1 · Pregunta guía: «¿Cómo puede cargarse un objeto sin que otro objeto cargado lo toque?».</t>
  </si>
  <si>
    <t>E2 · Representa con diagramas la redistribución de cargas en una esfera conductora durante la carga por inducción con conexión a tierra.</t>
  </si>
  <si>
    <t>D4 · Interpreta el comportamiento de dos latas de aluminio sobre vasos aislantes al acercarles un globo cargado y concluye el signo de sus cargas.</t>
  </si>
  <si>
    <r>
      <rPr>
        <rFont val="Arial"/>
        <color theme="1"/>
        <sz val="9.0"/>
      </rPr>
      <t>1.2 Evaluación de la información – Básico</t>
    </r>
    <r>
      <rPr>
        <rFont val="Arial"/>
        <color rgb="FF7030A0"/>
        <sz val="9.0"/>
      </rPr>
      <t xml:space="preserve">
Con la IA (DigComp 3.0, nivel real): CS1.2.10 – Intermedio: reconoce que la IA puede dar respuestas equivocadas que parecen ciertas y que quien la usa debe verificarlas.</t>
    </r>
  </si>
  <si>
    <t>E3 · Predice el signo de la carga que adquiere una esfera cargada por inducción con una barra negativa y justifica con un diagrama.</t>
  </si>
  <si>
    <r>
      <rPr>
        <rFont val="Arial"/>
        <color theme="1"/>
        <sz val="9.0"/>
      </rPr>
      <t>Evaluar la fiabilidad de dos fuentes sobre distancias de frenado, comparando si citan datos medidos, su autoría y la fecha de publicación.</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Mide tu tiempo de reacción con una regla que tu pareja suelta sin aviso (t = √(2d/g)); repite diez veces y saca el promedio. Calcula la distancia total de frenado de un carro a 50 y a 90 km/h con tu tiempo y una desaceleración que tomes de una fuente. Después pregúntale a la IA «¿Cuál es la distancia de frenado de un carro a 90 km/h?» y luego «¿Qué supuestos usaste?». Compara con tu cálculo.
Evidencia: Ficha «Yo pienso · La IA dice · Lo comprobé»: tus tiempos de reacción y tu cálculo por etapas; la respuesta y sus supuestos rotulados «Respuesta de IA»; la comparación y la fuente de tu desaceleración, con ✔ o ✘ para la IA. Línea en tu registro de uso de IA.
→ PISA I3 · TIMSS Razonar</t>
    </r>
  </si>
  <si>
    <t>29. Óptica geométrica: reflexión y refracción</t>
  </si>
  <si>
    <t>Uso ético de la información
 Referencia correctamente las fuentes de datos de frenado y reconoce cuando una cifra no tiene respaldo verificable.
 ↳ Se trabaja en la actividad digital (DigComp 1.2).</t>
  </si>
  <si>
    <t>Colaboración (Explicar)
 Construye con su equipo una secuencia de diagramas consensuada que explique paso a paso la carga por inducción.</t>
  </si>
  <si>
    <t>Malla oficial 10.° grado, Unidad 3 (4 semanas oficiales)</t>
  </si>
  <si>
    <t>Caída libre</t>
  </si>
  <si>
    <t>Aceleración de la gravedad
 Caída libre y lanzamiento vertical
 Modelo sin resistencia del aire</t>
  </si>
  <si>
    <t>Conocer: describir la carga eléctrica; enunciar la conservación de la carga; diferenciar conductores y aislantes. Aplicar: representar distribuciones de carga; calcular número de electrones; determinar la carga final de objetos que interactúan; clasificar materiales con el electroscopio. Razonar: justificar el signo de la carga inducida; justificar con el modelo de electrones libres</t>
  </si>
  <si>
    <t>2.3. Determinación experimental de la aceleración de la gravedad y aplicación de las ecuaciones de la cinemática a la caída libre y al lanzamiento vertical.</t>
  </si>
  <si>
    <t>Secuencia de diagramas de carga por contacto e inducción validada con el experimento de las latas</t>
  </si>
  <si>
    <t>INDAGACIÓN: Contrastar observaciones de electrización por frotamiento, contacto e inducción con el modelo atómico de la carga, para deducir las condiciones de conservación de la carga y calcular vectorialmente las fuerzas entre cargas puntuales.</t>
  </si>
  <si>
    <t>E1 · Recuerda la idea de que los objetos pesados caen más rápido y la contrasta con la observación de una hoja de papel arrugada y otra extendida.</t>
  </si>
  <si>
    <t>Nivel del indicador oficial; formalización con ecuaciones en 11.°.</t>
  </si>
  <si>
    <t>D1 · Pregunta guía: «¿Cómo podemos medir el valor de g en el aula con una pelota, una regla y un teléfono?».</t>
  </si>
  <si>
    <t>Unidad oficial: se agrupan los 12 procedimentales en 4 temas, uno por subcontenido, sin cambiar los textos.</t>
  </si>
  <si>
    <t>E2 · Linealiza los datos de altura contra tiempo de caída graficando h contra t² y relaciona la pendiente con g/2.</t>
  </si>
  <si>
    <t>D4 · Obtiene el valor de g del ajuste lineal, lo compara con 9.8 m/s² y concluye en qué casos la resistencia del aire es despreciable.</t>
  </si>
  <si>
    <t>E3 · Predice la altura máxima y el tiempo de vuelo de una pelota lanzada verticalmente hacia arriba y comprueba la predicción con video.</t>
  </si>
  <si>
    <t>Colaboración (Reforzar)
 Integra en un solo gráfico los datos de caída de todos los equipos y discute con la clase la consistencia del valor de g obtenido.</t>
  </si>
  <si>
    <t>2.1.  • Explica con diagramas de distribución de cargas la diferencia entre la carga por contacto y la carga por inducción, incluido el signo de la carga resultante.
 • Explica el origen de la carga eléctrica a partir de la estructura atómica y calcula el número de electrones transferidos a partir de una carga dada.
 • Aplica la conservación de la carga para determinar la carga final de objetos que interactúan y explica aplicaciones de la fuerza electrostática.
 • Clasifica materiales en conductores y aislantes a partir de un experimento con electroscopio y explica la diferencia con base en la movilidad de los electrones.</t>
  </si>
  <si>
    <t>Conocer: recordar el valor y la dirección de la aceleración de la gravedad. Aplicar: determinar g experimentalmente y calcular caída libre y lanzamiento vertical</t>
  </si>
  <si>
    <t>Gráfica h contra t² con ajuste lineal, valor experimental de g y comparación con el valor aceptado</t>
  </si>
  <si>
    <t>La carga eléctrica es una propiedad fundamental de la materia que se conserva y está cuantizada, y las cargas interactúan con fuerzas que dependen del inverso del cuadrado de la distancia. Esta interacción explica desde la cohesión de los materiales hasta el funcionamiento de dispositivos electrónicos y la protección contra descargas.</t>
  </si>
  <si>
    <t>2.3. Determina experimentalmente la aceleración de la gravedad y aplica las ecuaciones de la cinemática a la caída libre y al lanzamiento vertical.</t>
  </si>
  <si>
    <t>30. Óptica geométrica: imágenes</t>
  </si>
  <si>
    <r>
      <rPr>
        <rFont val="Arial"/>
        <color theme="1"/>
        <sz val="9.0"/>
      </rPr>
      <t>2.6 Gestión de la identidad digital – Básico</t>
    </r>
    <r>
      <rPr>
        <rFont val="Arial"/>
        <color rgb="FF7030A0"/>
        <sz val="9.0"/>
      </rPr>
      <t xml:space="preserve">
Con la IA (DigComp 3.0, nivel real): CS1.2.13 – Intermedio: valora qué tan confiable es una fuente, teniendo en cuenta el papel de la IA.</t>
    </r>
  </si>
  <si>
    <t>5.4 Identificación y atención de necesidades de competencia digital – Básico</t>
  </si>
  <si>
    <t>Identificar qué habilidades le faltan para usar un editor de diagramas y buscar un tutorial para mejorarlas antes de elaborar la secuencia.</t>
  </si>
  <si>
    <r>
      <rPr>
        <rFont val="Arial"/>
        <color theme="1"/>
        <sz val="9.0"/>
      </rPr>
      <t>Publicar el video del experimento en el aula virtual con su usuario institucional, sin mostrar rostros ni datos personales de sus compañeros.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Determina g con un péndulo de 1 m (20 oscilaciones, cinco repeticiones) y calcula su incertidumbre. Luego pregúntale al cuaderno NotebookLM «¿Por qué el valor de g cambia con la latitud y la altitud?». Compara tu resultado con el valor de referencia de la fuente y con el simulador. Escribe si la diferencia se explica por tu incertidumbre o por el lugar.
Evidencia: Ficha «Yo pienso · La IA dice · Lo comprobé»: tu tabla, g y su incertidumbre; la explicación rotulada «Respuesta de IA»; la comparación con el valor de referencia y el simulador, con ✔ o ✘ para la IA. Línea en tu registro de uso de IA.
Refuerza con: PhET «Lab de péndulo» (https://phet.colorado.edu/sims/html/pendulum-lab/latest/pendulum-lab_es.html)
→ PISA D4 · TIMSS Razonar</t>
    </r>
  </si>
  <si>
    <t>31. Óptica física: dispersión y descomposición de la luz</t>
  </si>
  <si>
    <t>Convivir
 Solicita el consentimiento de sus compañeros antes de grabarlos y respeta su decisión de no aparecer en el video.</t>
  </si>
  <si>
    <t>Respeto al medio ambiente, entorno y territorio
 Reutiliza latas, globos y vasos en el experimento y los entrega limpios para reciclaje al terminar.</t>
  </si>
  <si>
    <t>Movimiento en el plano y proyectiles</t>
  </si>
  <si>
    <t>Lanzamiento oblicuo
 Alcance, altura máxima y tiempo de vuelo
 Dependencia del alcance con el ángulo
 Vector posición y desplazamiento en dos dimensiones
 Velocidad media vectorial
 Aceleración media vectorial
 Independencia de los movimientos
 Ecuaciones cinemáticas por componentes
 Aceleración constante en el plano</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</si>
  <si>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Se usan submúltiplos como el microculombio, μC, y el nanoculombio, nC para la carga electrica. e: carga elemental, 1.60 × 10⁻¹⁹ C. k: constante de Coulomb, 8.99 × 10⁹ N·m²/C². ε₀: permitividad del vacío, 8.85 × 10⁻¹² C²/(N·m²). Los vectores se escriben en negrita o con una flecha sobre el símbolo.</t>
  </si>
  <si>
    <t>2.4. Aplicación de las ecuaciones de la cinemática por componentes al movimiento en el plano y modelación del lanzamiento oblicuo de proyectiles, con validación en un lanzador de bajo riesgo.</t>
  </si>
  <si>
    <t>32 Óptica física: interferencia, difracción y polarización</t>
  </si>
  <si>
    <t>E6 · Reconoce que las zonas de exclusión del volcán de San Miguel consideran el alcance de los proyectiles balísticos que expulsa en sus erupciones.</t>
  </si>
  <si>
    <t>D1 · Pregunta guía: «¿Con qué ángulo debe salir una pelota para llegar lo más lejos posible y por qué?».</t>
  </si>
  <si>
    <t>E4 · Combina las ecuaciones por componentes para deducir la expresión del alcance R = v₀² sen(2θ₀)/g y la de la altura máxima.</t>
  </si>
  <si>
    <t>Total 1.° Bachillerato</t>
  </si>
  <si>
    <t>Ley de Coulomb y campo eléctrico</t>
  </si>
  <si>
    <t>D2 · Diseña y construye un lanzador de pelotas de espuma con ligas elásticas y un transportador, y mide el alcance para cinco ángulos distintos usando gafas de protección.</t>
  </si>
  <si>
    <t>D3 · Evalúa las diferencias entre el alcance medido y el predicho, e identifica qué supuestos del modelo explican esas diferencias.</t>
  </si>
  <si>
    <t>Ley de Coulomb en forma vectorial:  Superposición de fuerzas eléctricas
Cargas en dos dimensiones
Definición de campo eléctrico. Campo de una carga puntual
Superposición de campos</t>
  </si>
  <si>
    <t>Creatividad (Indagar)
 Propone mejoras originales al lanzador para que la rapidez de salida sea repetible y la medición del ángulo sea precisa.</t>
  </si>
  <si>
    <t>2.2. Cálculo vectorial de la fuerza eléctrica con la ley de Coulomb y del campo eléctrico producido por una o varias cargas puntuales.</t>
  </si>
  <si>
    <t>Conocer: reconocer la independencia de los movimientos en cada eje. Aplicar: calcular alcance y altura máxima; operar vectores de movimiento; resolver movimientos en el plano por componentes. Razonar: evaluar el modelo con datos; explicar la aceleración por cambio de dirección</t>
  </si>
  <si>
    <t>Lanzador construido, tabla de alcance contra ángulo y gráfica comparativa de valores medidos y predichos</t>
  </si>
  <si>
    <t>E1 · Recuerda el cálculo de la fuerza entre dos cargas en una recta realizado en 9.° y la suma de vectores por componentes de 8.°.</t>
  </si>
  <si>
    <t>E3 · Predice la dirección de la fuerza neta sobre una carga ubicada en el vértice de un triángulo con otras dos cargas y justifica con un diagrama.</t>
  </si>
  <si>
    <t>2.4. • Predice el alcance, la altura máxima y el tiempo de vuelo de un proyectil lanzado con cualquier ángulo y contrasta la predicción con mediciones de un lanzador construido en el aula.
 • Calcula con vectores unitarios el desplazamiento, la velocidad media y la aceleración media de un móvil en el plano, y explica por qué un móvil que cambia de dirección con rapidez constante está acelerado.
 • Aplica las ecuaciones de la cinemática por separado en cada eje para resolver movimientos en el plano con aceleración constante.</t>
  </si>
  <si>
    <t>E2 · Transforma cada fuerza de Coulomb en sus componentes x e y y obtiene la fuerza neta con su magnitud y ángulo.</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</si>
  <si>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</si>
  <si>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Utilizar el simulador PhET «Movimiento de proyectiles» para comprobar la predicción del ángulo de alcance máximo y el efecto de la resistencia del aire.</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Construye un lanzador con una liga y un tubo de cartón. Mide el alcance a 30°, 45° y 60° (cinco tiros cada uno) y escribe antes qué ángulo crees que dará el mayor alcance. Pregúntale al cuaderno NotebookLM «¿Para qué ángulo es máximo el alcance y bajo qué supuestos?». Compara tus datos con el modelo y con el simulador con y sin resistencia del aire.
Evidencia: Ficha «Yo pienso · La IA dice · Lo comprobé»: tu predicción y tabla ángulo-alcance; la respuesta rotulada «Respuesta de IA»; la comparación con el modelo y el simulador y la explicación de diferencias, con ✔ o ✘ para la IA. Línea en tu registro de uso de IA.
Refuerza con: PhET «Movimiento de un proyectil» (https://phet.colorado.edu/sims/html/projectile-motion/latest/projectile-motion_es.html)
→ PISA D2 · TIMSS Razonar</t>
    </r>
  </si>
  <si>
    <t>Respeto al medio ambiente, entorno y territorio
 Explica a su familia por qué deben respetarse las zonas de exclusión volcánica establecidas por las autoridades de protección civil.</t>
  </si>
  <si>
    <t>U3 - Razonar temas · RazonarRazonar h - Eje integrador: interacciones</t>
  </si>
  <si>
    <t>E4 · Usa la ley de Coulomb y el principio de superposición como modelo para hallar un punto donde la fuerza neta sobre una carga de prueba se anula.</t>
  </si>
  <si>
    <t>I5 · Justifica, con los resultados de sus cálculos, la ubicación de una tercera carga para que el sistema quede en equilibrio.</t>
  </si>
  <si>
    <t>Pensamiento crítico (Reforzar)
 Verifica sus resultados comprobando signos, unidades y la coherencia de la dirección obtenida con el diagrama de fuerzas.</t>
  </si>
  <si>
    <t>3. Dinámica: leyes de Newton, movimiento circular y equilibrio</t>
  </si>
  <si>
    <t>Conocer: enunciar la ley de Coulomb; definir el campo eléctrico. Aplicar: calcular la fuerza eléctrica neta por superposición de componentes; calcular campos y fuerzas sobre cargas de prueba</t>
  </si>
  <si>
    <t>Problemas resueltos de fuerza neta en dos dimensiones con diagramas de cuerpo libre y componentes</t>
  </si>
  <si>
    <t>7 unidades</t>
  </si>
  <si>
    <t>2.2.  • Calcula la magnitud y la dirección de la fuerza eléctrica neta sobre una carga debida a dos o tres cargas puntuales ubicadas en un plano, aplicando la superposición de componentes.
 • Calcula el vector campo eléctrico en un punto debido a una o varias cargas puntuales y lo usa para determinar la fuerza sobre una carga de prueba.</t>
  </si>
  <si>
    <t>Fuerza, masa y primera ley</t>
  </si>
  <si>
    <t>Primera ley: inercia
 Sistemas de referencia inerciales
 Seguridad vial e inercia
 Concepto de fuerza como interacción
 Masa inercial y peso
 Aportes históricos: Aristóteles, Galileo y Newton</t>
  </si>
  <si>
    <t>2.2 Compartir a través de tecnologías digitales – Básico</t>
  </si>
  <si>
    <t>3.1. Análisis de los conceptos de fuerza y masa y explicación de situaciones cotidianas y de seguridad vial con la primera ley de Newton y los sistemas de referencia inerciales.</t>
  </si>
  <si>
    <t>Compartir en el aula virtual su hoja de cálculo de componentes de fuerzas para que otros equipos la usen y la revisen.</t>
  </si>
  <si>
    <t>Explica y predice el movimiento y el equilibrio de cuerpos y estructuras aplicando las leyes de Newton por componentes, la gravitación universal, la dinámica del movimiento circular y las condiciones de equilibrio del sólido rígido.</t>
  </si>
  <si>
    <t>Uso ético de la información
 Comparte su trabajo indicando su autoría y reconoce las aportaciones de compañeros que lo revisaron.
 ↳ Se trabaja en la actividad digital (DigComp 2.2).</t>
  </si>
  <si>
    <t>Responsabilidad en la seguridad propia y de los demás al comprender la inercia y las fuerzas en vehículos, cargas y estructuras. Valoración del trabajo histórico y colectivo que condujo a las leyes de la mecánica.</t>
  </si>
  <si>
    <t>Líneas de campo y conductores</t>
  </si>
  <si>
    <t>Líneas de campo eléctrico y sus propiedades
Dipolo eléctrico
Ejemplos: Campo dentro de un conductor, carga en la superficie. Blindaje electrostático. Xerografía. Impresora láser. Impresora de inyección de tinta</t>
  </si>
  <si>
    <t>2.3. Representación de campos eléctricos con líneas de campo, comprobación del blindaje electrostático y explicación de aplicaciones como la impresión láser.</t>
  </si>
  <si>
    <t>E6 · Reconoce que el uso del cinturón de seguridad y del casco en motocicleta reduce las lesiones en los accidentes de tránsito del país.</t>
  </si>
  <si>
    <t>D1 · Pregunta guía: «¿Por qué un pasajero de pie en un microbús sale hacia adelante cuando el vehículo frena, si nadie lo empuja?».</t>
  </si>
  <si>
    <t>E4 · Explica la primera ley con el concepto de fuerza neta nula y distingue un sistema de referencia inercial del de un vehículo que frena.</t>
  </si>
  <si>
    <t>I3 · Argumenta con la primera ley por qué los objetos sueltos en un vehículo se convierten en peligro durante un frenado brusco.</t>
  </si>
  <si>
    <t>E1 · Recuerda los patrones de limaduras de hierro alrededor de un imán y los compara con patrones de semillas en aceite cerca de electrodos cargados.</t>
  </si>
  <si>
    <t>I5 · Justifica, con base en la inercia, una norma de seguridad para el transporte escolar o público.</t>
  </si>
  <si>
    <t>E3 · Predice cómo serán las líneas de campo entre dos cargas de igual signo y justifica por qué nunca se cruzan.</t>
  </si>
  <si>
    <t>Pensamiento crítico (Explorar)
 Analiza críticamente la expresión «la fuerza de la inercia me lanzó hacia adelante» y explica por qué la inercia no es una fuerza.</t>
  </si>
  <si>
    <t>E2 · Representa las líneas de campo de un dipolo y de dos cargas positivas respetando su origen, su final y su densidad.</t>
  </si>
  <si>
    <t>Conocer: enunciar la primera ley de Newton y reconocer sistemas de referencia no inerciales; definir fuerza y masa. Razonar: explicar situaciones de seguridad vial con la inercia; evaluar fuentes históricas</t>
  </si>
  <si>
    <t>D4 · Interpreta mapas de líneas de campo obtenidos en un simulador y concluye en qué zonas el campo es más intenso.</t>
  </si>
  <si>
    <t>Explicación escrita de tres situaciones de tránsito con la primera ley y propuesta argumentada de una norma de seguridad</t>
  </si>
  <si>
    <t>E3 · Predice la trayectoria inicial de un protón liberado en distintos puntos de un dipolo y justifica con las líneas de campo.</t>
  </si>
  <si>
    <t>INDAGACIÓN: Identificar las fuerzas que actúan sobre uno o varios cuerpos, representarlas en diagramas de cuerpo libre con componentes y contrastar las predicciones de las leyes de Newton con mediciones experimentales de aceleración, rozamiento y tensión.</t>
  </si>
  <si>
    <t>Comunicación (Explicar)
 Explica ante el grupo un mapa de líneas de campo usando vocabulario preciso sobre dirección, sentido y densidad.</t>
  </si>
  <si>
    <t>Conocer: enunciar las propiedades de las líneas de campo; describir etapas. Aplicar: dibujar líneas de campo; comprobar el blindaje. Razonar: inferir la intensidad del campo; argumentar con el modelo de conductor en equilibrio; comparar tecnologías de impresión</t>
  </si>
  <si>
    <t>Mapas de líneas de campo de tres configuraciones con explicación de sus propiedades</t>
  </si>
  <si>
    <t>3.1. • Explica con la primera ley de Newton situaciones de seguridad vial y reconoce cuándo un sistema de referencia no es inercial.
 • Distingue la masa inercial del peso y explica cómo cambió la idea de fuerza desde Aristóteles hasta Newton a partir de fuentes históricas.</t>
  </si>
  <si>
    <t>Las leyes de Newton relacionan las fuerzas que actúan sobre un cuerpo con los cambios en su movimiento, y la ley de gravitación universal explica el peso como una interacción entre masas. Este marco permite diseñar vehículos, estructuras, ascensores y puentes seguros, y comprender fenómenos como los deslizamientos de laderas.</t>
  </si>
  <si>
    <t>2.3.
 • Dibuja las líneas de campo de un dipolo y de dos cargas positivas aplicando sus propiedades, e infiere la intensidad del campo a partir de su densidad.
 • Explica por qué el campo eléctrico es nulo dentro de un conductor en equilibrio y lo relaciona con el blindaje de circuitos y la protección en vehículos.
 • Explica las etapas de la xerografía en términos de carga, fotoconductividad y campo eléctrico, y compara el funcionamiento de impresoras láser y de inyección de tinta.</t>
  </si>
  <si>
    <t>3.1 Desarrollo de contenidos digitales – Básico</t>
  </si>
  <si>
    <t>Elaborar en GeoGebra un mapa de líneas de campo de un dipolo y exportarlo como imagen rotulada para su informe.</t>
  </si>
  <si>
    <r>
      <rPr>
        <rFont val="Arial"/>
        <color theme="1"/>
        <sz val="9.0"/>
      </rPr>
      <t>2.3 Participación ciudadana a través de tecnologías digitales – Básico</t>
    </r>
    <r>
      <rPr>
        <rFont val="Arial"/>
        <color rgb="FF7030A0"/>
        <sz val="9.0"/>
      </rPr>
      <t xml:space="preserve">
Con la IA (DigComp 3.0, nivel real): CS3.3.03 – Básico: reconoce que lo hecho con IA debe etiquetarse.</t>
    </r>
  </si>
  <si>
    <t>Uso ético de la información
 Presenta como propios solo los diagramas que elaboró y cita los recursos digitales que usó como referencia.
 ↳ Se trabaja en la actividad digital (DigComp 3.1).</t>
  </si>
  <si>
    <t>Potencial eléctrico</t>
  </si>
  <si>
    <r>
      <rPr>
        <rFont val="Arial"/>
        <color theme="1"/>
        <sz val="9.0"/>
      </rPr>
      <t>Participar en una campaña escolar digital de seguridad vial aportando explicaciones físicas sobre el uso del cinturón y del casco.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una figura de plastilina sobre un carrito de juguete y hazlo chocar suavemente contra un libro, primero sin «cinturón» y luego sujeta con una liga. Explica con la primera ley qué pasó. Después pídele al cuaderno NotebookLM un borrador de cartel sobre el uso del cinturón usando solo sus fuentes. Revisa la física de cada frase, corrige lo necesario y rotula «hecho con IA».
Evidencia: Cartel con declaración de uso de IA («Así usé la IA: … · Lo que revisé yo: …»); en la ficha, tu explicación del choque, el borrador rotulado «Respuesta de IA» y las frases corregidas, con ✔ o ✘ para la IA. Línea en tu registro de uso de IA.
→ PISA I5 · TIMSS Aplicar</t>
    </r>
  </si>
  <si>
    <t>Potencial eléctrico. Diferencia de potencial
Trabajo de la fuerza eléctrica. Energía potencial eléctrica
Principio de superposición
Potencial de una carga puntual y potencial total
Superficies equipotenciales
Relación entre campo y potencial
Trabajo sobre una equipotencial</t>
  </si>
  <si>
    <t>Convivir
 Promueve con respeto el uso del cinturón y del casco entre familiares y compañeros como forma de cuidado mutuo.
 ↳ Se trabaja en la actividad digital (DigComp 2.3).</t>
  </si>
  <si>
    <t>2.4. Cálculo de la energía potencial eléctrica y del potencial de cargas puntuales, y medición de líneas equipotenciales en un medio conductor.</t>
  </si>
  <si>
    <t xml:space="preserve">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Constante de gravitación universal, 6.674 × 10⁻¹¹ N·m²/kg². </t>
  </si>
  <si>
    <t>E1 · Recuerda que una pila de 1.5 V y una batería de 12 V de automóvil se distinguen por su diferencia de potencial.</t>
  </si>
  <si>
    <t>D1 · Pregunta guía: «¿Qué significa físicamente que entre los bornes de una pila haya 1.5 volts?».</t>
  </si>
  <si>
    <t>E1 · Aplica las relaciones ΔV = ΔU/q y ΔV = −E·d para calcular diferencias de potencial en campos uniformes.</t>
  </si>
  <si>
    <t>D4 · Interpreta los datos de un simulador de placas paralelas para relacionar la separación entre placas con la diferencia de potencial.</t>
  </si>
  <si>
    <t>2.° Bachillerato</t>
  </si>
  <si>
    <t>E3 · Predice la energía en electronvolts que gana un electrón acelerado por 5 000 V y justifica el signo del trabajo.</t>
  </si>
  <si>
    <t>Segunda ley de Newton</t>
  </si>
  <si>
    <t>Pensamiento crítico (Indagar)
 Evalúa si los resultados del simulador son coherentes con la relación lineal entre diferencia de potencial y distancia.</t>
  </si>
  <si>
    <t>Segunda ley: de Newton
Relación de la aceleración con la fuerza y con la masa
El newton como unidad derivada
Forma vectorial de la segunda ley
Diagramas de cuerpo libre</t>
  </si>
  <si>
    <t>3.2. Comprobación experimental de la segunda ley de Newton y su aplicación por componentes a cuerpos sometidos a fuerzas en direcciones arbitrarias.</t>
  </si>
  <si>
    <t>Conocer: definir la diferencia de potencial y su unidad; definir energía potencial eléctrica; reconocer el potencial como magnitud escalar. Aplicar: calcular diferencias de potencial y trabajo; comparar modelos; calcular el potencial total por superposición; medir y representar equipotenciales. Razonar: identificar los límites de una analogía; justificar la perpendicularidad entre campo y equipotenciales</t>
  </si>
  <si>
    <t>Hoja de problemas resueltos con cálculo de ΔV, trabajo y energía en electronvolts, más gráfica ΔV-distancia del simulador</t>
  </si>
  <si>
    <t>E1 · Recuerda de 8.° la segunda ley de Newton y la aplica a un problema sencillo de un carrito empujado.</t>
  </si>
  <si>
    <t>E3 · Predice cómo cambiará la aceleración de un carrito al duplicar la fuerza que lo jala y al duplicar su masa, y justifica sus predicciones.</t>
  </si>
  <si>
    <t>2.4.  • Calcula la diferencia de potencial entre dos puntos de un campo eléctrico uniforme y el trabajo necesario para trasladar una carga entre ellos.
 • Explica la energía potencial eléctrica de un sistema de cargas mediante la analogía con la energía potencial gravitatoria, señalando sus semejanzas y diferencias.
 • Calcula el potencial eléctrico total en un punto debido a un sistema de cargas puntuales aplicando el principio de superposición.
 • Traza superficies equipotenciales a partir de mediciones y justifica por qué el campo eléctrico es perpendicular a ellas.</t>
  </si>
  <si>
    <t>E2 · Representa los datos en gráficas de aceleración contra fuerza y de aceleración contra 1/m, e interpreta sus pendientes.</t>
  </si>
  <si>
    <t>D4 · Obtiene la aceleración de un carrito jalado por una masa colgante con distintas cargas y concluye si los datos confirman la segunda ley.</t>
  </si>
  <si>
    <t>Oscilaciones, ondas mecánicas y sonido</t>
  </si>
  <si>
    <t>5.3 Identificación de soluciones creativas con tecnologías digitales – Básico</t>
  </si>
  <si>
    <t>D3 · Evalúa por qué la gráfica de aceleración contra fuerza no pasa exactamente por el origen y relaciona el intercepto con el rozamiento.</t>
  </si>
  <si>
    <t>Usar el simulador PhET «Cargas y campos» para medir el potencial con el voltímetro virtual a distintas distancias.</t>
  </si>
  <si>
    <t>Colaboración (Indagar)
 Organiza con su equipo dos series de mediciones, una con masa constante y otra con fuerza constante, y consolida los datos en una sola tabla.</t>
  </si>
  <si>
    <t>Convivir
 Comparte el equipo con su pareja alternando quién manipula el simulador y quién registra los datos.</t>
  </si>
  <si>
    <t>Conocer: enunciar la segunda ley de Newton. Aplicar: calcular y graficar; plantear ecuaciones por componentes y calcular la aceleración. Razonar: interpretar pendientes e interceptos</t>
  </si>
  <si>
    <t>Informe con gráficas a contra F y a contra 1/m, ecuaciones de ajuste y conclusión sobre la segunda ley</t>
  </si>
  <si>
    <t>Energia</t>
  </si>
  <si>
    <t>3.2. • Comprueba experimentalmente que la aceleración es directamente proporcional a la fuerza neta e inversamente proporcional a la masa, a partir de gráficas linealizadas.
 • Aplica la segunda ley de Newton por componentes para calcular la aceleración de un cuerpo sometido a varias fuerzas con ángulos arbitrarios.</t>
  </si>
  <si>
    <t>Condensadores</t>
  </si>
  <si>
    <t>Capacitancia
Condensador de placas paralelas. Constante dieléctrica
Condensadores en serie y en paralelo. Capacitancia equivalente
Circuito RC: Carga y descarga y constante de tiempo</t>
  </si>
  <si>
    <r>
      <rPr>
        <rFont val="Arial"/>
        <color theme="1"/>
        <sz val="9.0"/>
      </rPr>
      <t>5.1 Identificación y resolución de problemas técnicos – Básico</t>
    </r>
    <r>
      <rPr>
        <rFont val="Arial"/>
        <color rgb="FF7030A0"/>
        <sz val="9.0"/>
      </rPr>
      <t xml:space="preserve">
Con la IA (DigComp 3.0, nivel real): CS1.2.10 – Intermedio: reconoce que la IA puede dar respuestas equivocadas que parecen ciertas y que quien la usa debe verificarlas.</t>
    </r>
  </si>
  <si>
    <t>2.5. Construcción de un condensador de placas paralelas, cálculo de capacitancias equivalentes y medición de la carga y descarga en un circuito RC.</t>
  </si>
  <si>
    <t>1. Movimiento armónico simple</t>
  </si>
  <si>
    <t>E1 · Recuerda que el flash de una cámara y el desfibrilador almacenan energía antes de liberarla en un instante.</t>
  </si>
  <si>
    <r>
      <rPr>
        <rFont val="Arial"/>
        <color theme="1"/>
        <sz val="9.0"/>
      </rPr>
      <t>Resolver problemas de lectura del sensor de aceleración, como la orientación del teléfono o la frecuencia de muestreo, antes de registrar los datos.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Jala una caja con una cuerda inclinada a 30° y mide la fuerza con un dinamómetro de liga calibrado. Dibuja el diagrama de cuerpo libre y escribe ΣFx = max y ΣFy = may. Luego pregúntale a la IA «¿Cuánto vale la normal si jalo una caja con una fuerza F a 30° sobre la horizontal?». Revisa si pone N = mg; comprueba tú cuál es correcta y calcula la aceleración.
Evidencia: Ficha «Yo pienso · La IA dice · Lo comprobé»: tu DCL y ecuaciones por componentes; la respuesta rotulada «Respuesta de IA»; tu cálculo de N y de a con tus mediciones, con ✔ o ✘ para la IA. Línea en tu registro de uso de IA.
Refuerza con: PhET «Fuerzas y movimiento: Intro» (https://phet.colorado.edu/sims/html/forces-and-motion-basics/latest/forces-and-motion-basics_es.html)
→ PISA D4 · TIMSS Razonar</t>
    </r>
  </si>
  <si>
    <t>Planeador Física II</t>
  </si>
  <si>
    <t>E5 · Formula una hipótesis sobre cómo cambiará la capacitancia al sustituir el papel por plástico entre las placas.</t>
  </si>
  <si>
    <t>Respeto al medio ambiente, entorno y territorio
 Relaciona la masa de los vehículos con la fuerza y la energía necesarias para acelerarlos, y valora el transporte colectivo por su menor impacto ambiental.</t>
  </si>
  <si>
    <t>E1 · Aplica C = κε₀A/d y U = ½CV² para calcular la capacitancia y la energía almacenada.</t>
  </si>
  <si>
    <t>D4 · Interpreta las mediciones del multímetro con capacímetro para estimar la constante dieléctrica del papel y del plástico.</t>
  </si>
  <si>
    <t>Oscilaciones y ondas mecánicas en una unidad: el MAS es la base de las ondas y del sonido.</t>
  </si>
  <si>
    <t>I5 · Justifica qué dieléctrico elegiría para un condensador compacto de alta capacitancia a partir de sus datos.</t>
  </si>
  <si>
    <t>Pensamiento crítico (Reforzar)
 Contrasta su constante dieléctrica medida con valores de tablas y explica las fuentes de error del montaje.</t>
  </si>
  <si>
    <t>Tercera ley, interacciones y gravitación</t>
  </si>
  <si>
    <t>Conocer: definir la capacitancia y la constante dieléctrica; recordar las reglas de combinación de condensadores. Aplicar: calcular capacitancias; calcular capacitancia equivalente y carga; linealizar y ajustar datos. Razonar: interpretar mediciones y fuentes de error; comparar el valor experimental con el modelo</t>
  </si>
  <si>
    <t>Tercera ley: pares de acción y reacción
Interacciones fundamentales
Fuerzas de contacto y a distancia
Ley de gravitación universal
Peso como fuerza gravitatoria
Variación de g con la altura</t>
  </si>
  <si>
    <t>Informe de laboratorio con tabla de capacitancias medidas y constantes dieléctricas estimadas para dos materiales</t>
  </si>
  <si>
    <t>3.3. Identificación de pares de acción y reacción, clasificación de las interacciones fundamentales y cálculo de fuerzas gravitatorias con la ley de gravitación universal.</t>
  </si>
  <si>
    <t>2.5.  • Relaciona la capacitancia de un condensador de placas paralelas con el área, la separación y la constante dieléctrica del material entre las placas.
 • Calcula la capacitancia equivalente y la carga de cada condensador en combinaciones en serie y en paralelo.
 • Determina la constante de tiempo de un circuito RC a partir de la curva de descarga medida y la compara con el producto RC.</t>
  </si>
  <si>
    <t>E1 · Recuerda que al remar en el lago de Ilopango el bote avanza cuando el remo empuja el agua hacia atrás.</t>
  </si>
  <si>
    <t>E5 · Propone una hipótesis sobre qué dinamómetro marcará más cuando dos compañeros tiran uno del otro con fuerzas aparentemente distintas.</t>
  </si>
  <si>
    <t>4.4 Protección del medio ambiente – Básico</t>
  </si>
  <si>
    <t>E4 · Explica que los pares de acción y reacción actúan sobre cuerpos distintos, tienen igual módulo y sentidos opuestos, y no se anulan entre sí.</t>
  </si>
  <si>
    <t>Investigar cómo se deben disponer los condensadores de aparatos dañados y proponer un punto de acopio de residuos electrónicos.</t>
  </si>
  <si>
    <t>D4 · Registra lecturas simultáneas de dos dinamómetros enganchados y concluye que marcan el mismo valor en todas las pruebas.</t>
  </si>
  <si>
    <t>I4 · Critica el argumento «si acción y reacción son iguales, nada podría moverse» y lo refuta con diagramas de cuerpo libre separados.</t>
  </si>
  <si>
    <t>Respeto al medio ambiente, entorno y territorio
 Separa los condensadores y componentes en desuso para entregarlos a un punto de acopio de residuos electrónicos.
 ↳ Se trabaja en la actividad digital (DigComp 4.4).</t>
  </si>
  <si>
    <t>Comunicación (Indagar)
 Explica con diagramas separados para cada cuerpo por qué un bote avanza aunque las fuerzas del par sean iguales.</t>
  </si>
  <si>
    <t>2. Péndulo, amortiguamiento y resonancia</t>
  </si>
  <si>
    <t>Conocer: enunciar la tercera ley de Newton; clasificar las fuerzas y nombrar las interacciones fundamentales; enunciar la ley de gravitación universal y describir el peso. Aplicar: identificar pares de acción y reacción; identificar las fuerzas que actúan en situaciones reales; calcular fuerzas gravitatorias. Razonar: diferenciarlos de fuerzas equilibradas sobre un mismo cuerpo</t>
  </si>
  <si>
    <t>Eje integrador: tecnología</t>
  </si>
  <si>
    <t>Tabla de lecturas de dinamómetros y diagramas de cuerpo libre separados con identificación de pares de acción y reacción</t>
  </si>
  <si>
    <t>propuesta sobre diseño sismorresistente.</t>
  </si>
  <si>
    <t>3.3. • Identifica pares de acción y reacción en sistemas de dos o más cuerpos y los diferencia de fuerzas que se equilibran sobre un mismo cuerpo.
 • Clasifica las fuerzas que intervienen en situaciones reales según su tipo y las relaciona con la interacción fundamental de la que provienen.
 • Calcula el módulo de la fuerza gravitatoria entre dos cuerpos con la ley de gravitación universal y explica el peso como la atracción que la Tierra ejerce sobre un cuerpo.</t>
  </si>
  <si>
    <t>3. Circuitos de corriente continua</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</si>
  <si>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</si>
  <si>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3. Ondas mecánicas y el sonido como onda</t>
  </si>
  <si>
    <t>Corriente, fem y resistencia</t>
  </si>
  <si>
    <r>
      <rPr>
        <rFont val="Arial"/>
        <color theme="1"/>
        <sz val="9.0"/>
      </rPr>
      <t>Registrar en una hoja de cálculo compartida las lecturas de los dinamómetros de todos los equipos y comentar en conjunto las regularidades observadas.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Calcula con la ley de gravitación cuánto cambia el peso de una mochila de 5 kg entre el nivel del mar y la cima del volcán de Santa Ana (busca su altitud en una fuente oficial). Antes, escribe si crees que el cambio se notaría en una balanza. Luego pregúntale a la IA «¿Cuánto menos pesa una mochila de 5 kg en la cima del volcán de Santa Ana?». Compara su cifra y sus pasos con tu cálculo y comprueba la tendencia en el simulador.
Evidencia: Ficha «Yo pienso · La IA dice · Lo comprobé»: tu predicción y tu cálculo con g a cada altura; la respuesta rotulada «Respuesta de IA»; la comparación de cifras, la fuente de la altitud y lo observado en el simulador, con ✔ o ✘ para la IA. Línea en tu registro de uso de IA.
Refuerza con: PhET «Gravedad y órbitas» (https://phet.colorado.edu/sims/html/gravity-and-orbits/latest/gravity-and-orbits_es.html)
→ PISA D4 · TIMSS Razonar</t>
    </r>
  </si>
  <si>
    <t>Ley de Ohm. Curva característica voltaje-corriente
Conductores óhmicos y no óhmicos
 Fuerza electromotriz
 Corriente eléctrica continua
 Resistencia y resistividad</t>
  </si>
  <si>
    <t>Convivir
 Coordina con los compañeros de otros equipos la edición de la hoja compartida sin borrar ni alterar datos ajenos.
 ↳ Se trabaja en la actividad digital (DigComp 2.4).</t>
  </si>
  <si>
    <t>3.1. Análisis de la fuerza electromotriz y la corriente, construcción de curvas voltaje-corriente y determinación de la resistividad de un material.</t>
  </si>
  <si>
    <t>Cómo se integran sin sobresaturar la secuencia</t>
  </si>
  <si>
    <t>4. Intensidad sonora y efecto Doppler</t>
  </si>
  <si>
    <t>Diseña, mide y resuelve circuitos de corriente continua con la ley de Ohm y las reglas de Kirchhoff, y toma decisiones informadas sobre el consumo y la seguridad eléctrica en el hogar.</t>
  </si>
  <si>
    <t>Normal y rozamiento</t>
  </si>
  <si>
    <t>Rozamiento estático y cinético
Ángulo crítico en el plano inclinado
Fuerza normal: en superficies horizontales e inclinadas
y con fuerzas aplicadas en ángulo</t>
  </si>
  <si>
    <t>1. Una sola habilidad del siglo XXI por tema, trabajada en una fase concreta de la secuencia (no en las cinco).</t>
  </si>
  <si>
    <t>3.4. Determinación de la fuerza normal y de los coeficientes de rozamiento estático y cinético en superficies horizontales e inclinadas.</t>
  </si>
  <si>
    <t>Responsabilidad y cuidado en el montaje de circuitos con pilas y fuentes de bajo voltaje. Compromiso con el uso eficiente de la energía eléctrica en el hogar y la escuela.</t>
  </si>
  <si>
    <t>E1 · Recuerda situaciones en las que el rozamiento es útil, como caminar o frenar, y otras en las que es un problema, como el desgaste de piezas.</t>
  </si>
  <si>
    <t>5. Superposición e interferencia</t>
  </si>
  <si>
    <t>D1 · Pregunta guía: «¿Por qué cuesta más poner en movimiento una caja que mantenerla deslizándose?».</t>
  </si>
  <si>
    <t>E4 · Explica el modelo f_s ≤ μ_s N y f_k = μ_k N, y deduce que en el ángulo crítico de deslizamiento μ_s = tan θ.</t>
  </si>
  <si>
    <t>E1 · Recuerda la relación V = IR y la aplica a la resistencia de un cargador de teléfono sencillo.</t>
  </si>
  <si>
    <t>2. Una sola habilidad transversal por tema, dentro de una actividad que ya existe: no se agregan actividades nuevas.</t>
  </si>
  <si>
    <t>E3 · Predice si la gráfica voltaje-corriente de un LED será una recta igual a la de un resistor y justifica su predicción.</t>
  </si>
  <si>
    <t>D2 · Diseña un procedimiento para medir μ_s con el ángulo crítico de un plano inclinado y μ_k con un dinamómetro jalando a velocidad constante, para madera, caucho y cartón.</t>
  </si>
  <si>
    <t>luz va en «Naturaleza ondulatoria».</t>
  </si>
  <si>
    <t>E2 · Representa los datos medidos en una gráfica voltaje-corriente y obtiene la resistencia con la pendiente de la recta.</t>
  </si>
  <si>
    <t>I5 · Justifica, con los coeficientes medidos, qué material recomendaría para el calzado de un trabajador en una superficie inclinada y mojada.</t>
  </si>
  <si>
    <t>D4 · Compara las curvas del resistor y del LED para concluir cuál cumple la ley de Ohm en todo el rango medido.</t>
  </si>
  <si>
    <t>Pensamiento crítico (Indagar)
 Analiza por qué sus coeficientes difieren de los valores de tablas y propone qué variables del experimento podrían explicarlo.</t>
  </si>
  <si>
    <t>3. Las cuatro habilidades del siglo XXI rotan dentro de cada unidad, para que todas aparezcan de forma equilibrada.</t>
  </si>
  <si>
    <t>I2 · Distingue entre la evidencia de su gráfica y la creencia común de que todos los conductores cumplen la ley de Ohm.</t>
  </si>
  <si>
    <t>Conocer: diferenciar rozamiento estático y cinético. Aplicar: determinar coeficientes de rozamiento y predecir el deslizamiento; calcular la fuerza normal. Razonar: justificar su variación con el ángulo</t>
  </si>
  <si>
    <t>Pensamiento crítico (Indagar)
 Analiza críticamente los puntos que se apartan de la recta y decide si se deben a errores de medición o al comportamiento del LED.</t>
  </si>
  <si>
    <t>Tabla de coeficientes μ_s y μ_k para tres pares de materiales con cálculos y predicción verificada de deslizamiento</t>
  </si>
  <si>
    <t>4. La habilidad transversal se vincula con la actividad digital cuando la competencia DigComp del tema la trabaja (lo indica la flecha ↳).</t>
  </si>
  <si>
    <t>Conocer: definir fuerza electromotriz y corriente; definir la resistividad. Aplicar: representar datos y calcular pendientes; calcular carga y energía; calcular la resistividad y compararla con valores de referencia. Razonar: clasificar conductores con base en evidencia</t>
  </si>
  <si>
    <t>3.4. • Determina experimentalmente los coeficientes de rozamiento estático y cinético entre dos materiales y los utiliza para predecir si un cuerpo se desliza.
 • Calcula la fuerza normal en planos horizontales e inclinados y en casos con fuerzas aplicadas en ángulo, explicando por qué no siempre es igual al peso.</t>
  </si>
  <si>
    <t>Informe de laboratorio con curvas voltaje-corriente del resistor y del LED y cálculo de la resistencia por pendiente</t>
  </si>
  <si>
    <t>5. Se observa con una escala sencilla de tres niveles; no requiere instrumentos adicionales.</t>
  </si>
  <si>
    <t>6. Ondas estacionarias y música</t>
  </si>
  <si>
    <t>INDAGACIÓN: Contrastar las mediciones de corriente, voltaje y potencia en circuitos de corriente continua con las predicciones de la ley de Ohm y de las reglas de Kirchhoff, para explicar el comportamiento de circuitos reales y justificar medidas de uso seguro y eficiente de la electricidad.</t>
  </si>
  <si>
    <r>
      <rPr>
        <rFont val="Arial"/>
        <color theme="1"/>
        <sz val="9.0"/>
      </rPr>
      <t>3.4 Pensamiento computacional y programación – Básico</t>
    </r>
    <r>
      <rPr>
        <rFont val="Arial"/>
        <color rgb="FF7030A0"/>
        <sz val="9.0"/>
      </rPr>
      <t xml:space="preserve">
Con la IA (DigComp 3.0, nivel real): CS1.2.13 – Intermedio: valora qué tan confiable es una fuente, teniendo en cuenta el papel de la IA.</t>
    </r>
  </si>
  <si>
    <t>Habilidades del siglo XXI (4C)</t>
  </si>
  <si>
    <r>
      <rPr>
        <rFont val="Arial"/>
        <color theme="1"/>
        <sz val="9.0"/>
      </rPr>
      <t>Programar en una hoja de cálculo una regla condicional que, con el ángulo, la masa y μ_s, indique si el bloque permanece en reposo o se desliza.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Inclina despacio una tabla con una caja de cartón, luego con madera y con tela encima, y mide el ángulo crítico para calcular μs = tan θ. Para μk, ajusta el ángulo hasta que baje a rapidez constante. Escribe antes qué material tendrá mayor μ. Pregúntale al cuaderno NotebookLM «¿Qué rangos de coeficientes de rozamiento dan las fuentes para estos materiales y de qué dependen?». Compara con tus valores.
Evidencia: Ficha «Yo pienso · La IA dice · Lo comprobé»: tu predicción y tabla material-ángulo-μs-μk; los rangos rotulados «Respuesta de IA» con su fuente; la comparación y las razones de las diferencias, con ✔ o ✘ para la IA. Línea en tu registro de uso de IA.
→ PISA D2 · TIMSS Razonar</t>
    </r>
  </si>
  <si>
    <t>Uso ético de la información
 Presenta sus coeficientes medidos sin alterarlos para que coincidan con las tablas y reporta con honestidad las discrepancias.</t>
  </si>
  <si>
    <t>Habilidad</t>
  </si>
  <si>
    <t>Aplicaciones de las leyes de Newton</t>
  </si>
  <si>
    <t>3.1.  • Determina la resistencia de un conductor a partir de la pendiente de su curva voltaje-corriente y distingue un conductor óhmico de uno no óhmico.
 • Calcula la carga que circula y la energía que entrega una fuente a partir de su fuerza electromotriz, la corriente y el tiempo de funcionamiento.
 • Calcula la resistividad de un material a partir de mediciones de resistencia, longitud y área, y la compara con valores de referencia.</t>
  </si>
  <si>
    <t>Electrostática</t>
  </si>
  <si>
    <t>Qué significa en Bachillerato</t>
  </si>
  <si>
    <t>Dinámica de sistemas de cuerpos conectados: Máquina de Atwood, plano inclinado con rozamiento, fuerza de tensión en cuerdas ideales, poleas, tensión en un ascensor
Condición de equilibrio. Ejemplos: Cuerpo suspendido de varios cables, ingravidez aparente, gravedad artificial en estaciones giratorias</t>
  </si>
  <si>
    <t>3.5. Resolución de problemas de equilibrio y de no equilibrio con tensiones, poleas, planos inclinados, cuerpos conectados y peso aparente en ascensores.</t>
  </si>
  <si>
    <t>La corriente eléctrica en un circuito obedece a la conservación de la carga y de la energía, expresadas en las reglas de Kirchhoff. Comprender cómo se reparten la corriente, el voltaje y la potencia entre resistencias, fuentes y condensadores permite diseñar dispositivos, diagnosticar fallas y usar la electricidad de forma segura y eficiente.</t>
  </si>
  <si>
    <t>Cómo lo observo</t>
  </si>
  <si>
    <t>Distribución por fase</t>
  </si>
  <si>
    <t>E1 · Recuerda cómo se suben materiales de construcción con una polea y un contrapeso y reconoce que forman un sistema de cuerpos conectados.</t>
  </si>
  <si>
    <t>N.° de temas</t>
  </si>
  <si>
    <t>E3 · Predice el sentido del movimiento de un bloque sobre un plano inclinado unido por una cuerda a una masa colgante y justifica su predicción.</t>
  </si>
  <si>
    <t>Organizar las mediciones en una hoja de cálculo, graficar y obtener la línea de tendencia con su pendiente.</t>
  </si>
  <si>
    <t>E2 · Traza diagramas de cuerpo libre separados para cada cuerpo y plantea un sistema de ecuaciones para la aceleración común y la tensión.</t>
  </si>
  <si>
    <t>Uso ético de la información
 Reporta todos sus datos medidos sin eliminar los puntos que no coinciden con lo esperado.</t>
  </si>
  <si>
    <t>I3 · Argumenta con los resultados de una máquina de Atwood construida en el aula si el modelo de cuerda y polea ideales es adecuado.</t>
  </si>
  <si>
    <t>Creatividad</t>
  </si>
  <si>
    <t>I5 · Justifica qué contrapeso usaría para subir con seguridad una carga por una rampa de construcción, considerando el rozamiento.</t>
  </si>
  <si>
    <t xml:space="preserve">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
  </si>
  <si>
    <t>Colaboración (Reforzar)
 Resuelve en equipo un problema de tres cuerpos conectados, en el que cada integrante plantea las ecuaciones de un cuerpo y juntos resuelven el sistema.</t>
  </si>
  <si>
    <t>7. Carga eléctrica y electrización</t>
  </si>
  <si>
    <t>Conocer: enunciar las condiciones de equilibrio de traslación. Aplicar: plantear sistemas de ecuaciones; calcular tensiones; resolver sistemas con ΣFx = 0 y ΣFy = 0; calcular el peso aparente. Razonar: justificar decisiones de diseño; interpretar datos de aceleración; explicar la ingravidez como caída libre</t>
  </si>
  <si>
    <t>Proponer diseños experimentales, modelos, soluciones o productos propios y mejorarlos a partir de pruebas y datos.</t>
  </si>
  <si>
    <t>Resolución de problemas de cuerpos conectados con diagramas separados y comparación con los datos de la máquina de Atwood</t>
  </si>
  <si>
    <t>Fuerza, campo y potencial eléctricos en secuencia; los condensadores cierran la unidad.</t>
  </si>
  <si>
    <t>Propone al menos una idea, diseño o solución original, la fundamenta y la mejora con evidencia.</t>
  </si>
  <si>
    <t>3.5. • Resuelve problemas de sistemas de cuerpos conectados, con o sin rozamiento y en planos inclinados, determinando la aceleración común y las tensiones.
 • Calcula la tensión de un cable que sostiene un ascensor cuando sube o baja con aceleración y la relaciona con el par de fuerzas de la tercera ley.
 • Resuelve problemas de equilibrio de traslación planteando ΣFx = 0 y ΣFy = 0, como el de un semáforo suspendido de dos cables o un bloque en reposo sobre un plano inclinado.
 • Explica la ingravidez aparente como caída libre continua y calcula la rapidez de giro necesaria para producir gravedad artificial.</t>
  </si>
  <si>
    <t>Circuitos serie, paralelo y mixtos</t>
  </si>
  <si>
    <t>Aproximar: 7 · Explorar: 11 · Explicar: 11 · Indagar: 18 · Reforzar: 10</t>
  </si>
  <si>
    <t>Circuitos mixtos. Reducción de circuitos
 Potencia por elemento
 Montaje en serie. Resistencia equivalente. Divisor de voltaje
 Montaje en paralelo. Divisor de corriente
 Instalaciones domésticas
 Amperímetro y voltímetro
 Efecto de carga del instrumento</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</si>
  <si>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CS1.2.10 – Intermedio: reconoce que la IA puede dar respuestas equivocadas que parecen ciertas y que quien la usa debe verificarlas.</t>
    </r>
  </si>
  <si>
    <t>3.2. Resolución de circuitos en serie, en paralelo y mixtos, con medición correcta de corriente y voltaje con el multímetro.</t>
  </si>
  <si>
    <t>Comunicación</t>
  </si>
  <si>
    <t>Explicar con precisión, oralmente y por escrito, con gráficas, modelos o productos digitales, a pares, a otros grados o a la comunidad.</t>
  </si>
  <si>
    <t>8. Ley de Coulomb y campo eléctrico</t>
  </si>
  <si>
    <t>Comunica con orden, vocabulario científico y unidades correctas; responde preguntas con argumentos.</t>
  </si>
  <si>
    <t>E1 · Recuerda cómo se calcula la resistencia equivalente en serie y en paralelo por separado.</t>
  </si>
  <si>
    <r>
      <rPr>
        <rFont val="Arial"/>
        <color theme="1"/>
        <sz val="9.0"/>
      </rPr>
      <t>Retirar las pilas de los sensores y carritos motorizados al terminar las prácticas y llevar las usadas a un punto de acopio de residuos electrónicos.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Arma una máquina de Atwood con un carrete fijo, hilo y dos bolsitas de arena de masa distinta. Mide la aceleración con cronómetro y cinta métrica. Calcula tú a y T. Luego pregúntale a la IA «En una máquina de Atwood, ¿la tensión es igual al peso de la masa mayor?». Comprueba con tus ecuaciones y tu medición, y explica la diferencia por el rozamiento del carrete.
Evidencia: Ficha «Yo pienso · La IA dice · Lo comprobé»: tu diagrama de cada cuerpo, tus ecuaciones y la aceleración medida; la respuesta rotulada «Respuesta de IA»; la comparación teoría-medición, con ✔ o ✘ para la IA. Línea en tu registro de uso de IA.
→ PISA I3 · TIMSS Razonar</t>
    </r>
  </si>
  <si>
    <t>Aproximar: 12 · Explorar: 3 · Explicar: 18 · Indagar: 8 · Reforzar: 26</t>
  </si>
  <si>
    <t>E3 · Predice cuál de las cuatro resistencias de un circuito mixto disipará más potencia antes de hacer cálculos.</t>
  </si>
  <si>
    <t>E4 · Aplica el modelo de reducción sucesiva para convertir el circuito mixto en una sola resistencia equivalente.</t>
  </si>
  <si>
    <t>Respeto al medio ambiente, entorno y territorio
 Deposita las pilas y componentes electrónicos en desuso en los puntos de acopio para evitar la contaminación del suelo y del agua.
 ↳ Se trabaja en la actividad digital (DigComp 4.4).</t>
  </si>
  <si>
    <t>D4 · Contrasta los valores calculados con los medidos en el montaje con pilas y explica las diferencias encontradas.</t>
  </si>
  <si>
    <t>Colaboración</t>
  </si>
  <si>
    <t>E3 · Predice cómo cambia la potencia de cada elemento si una de las resistencias en paralelo se desconecta.</t>
  </si>
  <si>
    <t>Trabajar en equipo con roles, acordar procedimientos, repartir mediciones y construir un producto común.</t>
  </si>
  <si>
    <t>Colaboración (Indagar)
 Divide con su equipo el cálculo de cada rama y luego integran los resultados para verificar la potencia total.</t>
  </si>
  <si>
    <t>Movimiento circular y órbitas</t>
  </si>
  <si>
    <t>Cumple su rol, respeta los acuerdos, integra aportes de otros y contribuye al producto del equipo.</t>
  </si>
  <si>
    <t>9. Líneas de campo y conductores</t>
  </si>
  <si>
    <t>Fuerza centrípeta
Período y frecuencia
Rapidez tangencial. Velocidad como vector tangente
Curva plana con fricción y peraltada
Fuerza gravitatoria como fuerza centrípeta
Rapidez y periodo orbitales</t>
  </si>
  <si>
    <t>Conocer: describir las características del circuito en serie; identificar instrumentos. Aplicar: resolver circuitos por reducción; calcular la resistencia equivalente y las caídas de voltaje; calcular corrientes en paralelo; medir. Razonar: contrastar cálculo y medición; justificar el diseño de las instalaciones domésticas; evaluar el efecto de carga del instrumento</t>
  </si>
  <si>
    <t>Aproximar: 1 · Explorar: 18 · Explicar: 8 · Indagar: 26 · Reforzar: 12</t>
  </si>
  <si>
    <t>3.6. Modelación del movimiento circular uniforme, identificación de la fuerza centrípeta en curvas planas y peraltadas y cálculo de la rapidez y el período de satélites en órbitas circulares.</t>
  </si>
  <si>
    <t>Hoja de resolución paso a paso de un circuito mixto con tabla de corriente, voltaje y potencia por resistencia</t>
  </si>
  <si>
    <t>Pensamiento crítico</t>
  </si>
  <si>
    <t>Comprobar antes de creer: evaluar diseños, datos, incertidumbres y fuentes para aceptar o rechazar una afirmación.</t>
  </si>
  <si>
    <t>E1 · Recuerda las leyes de Newton de 8.° y las aplica a un tapón que gira atado a un hilo sobre una mesa lisa.</t>
  </si>
  <si>
    <t>3.2.  • Determina la corriente, el voltaje y la potencia en cada resistencia de un circuito mixto de cuatro resistencias.
 • Calcula la resistencia equivalente, la corriente y la caída de voltaje en cada elemento de un circuito en serie y verifica sus resultados con mediciones.
 • Calcula la resistencia equivalente y la corriente en cada rama de un circuito en paralelo y explica por qué los aparatos del hogar se conectan de esta forma.
 • Conecta correctamente un amperímetro y un voltímetro en un circuito y explica cómo su resistencia interna afecta la medición.</t>
  </si>
  <si>
    <t>E5 · Formula una hipótesis sobre qué fuerza mantiene a un bus en la curva de la carretera de Los Chorros.</t>
  </si>
  <si>
    <t>Justifica sus conclusiones con datos, reconoce límites e incertidumbres y detecta fallas en argumentos.</t>
  </si>
  <si>
    <t>E4 · Construye diagramas de cuerpo libre para un auto en curva plana, un tapón en un hilo y la Luna alrededor de la Tierra.</t>
  </si>
  <si>
    <t>10. Potencial eléctrico</t>
  </si>
  <si>
    <t>Aproximar: 3 · Explorar: 9 · Explicar: 14 · Indagar: 27 · Reforzar: 25</t>
  </si>
  <si>
    <t>3.4 Pensamiento computacional y programación – Básico</t>
  </si>
  <si>
    <t>D4 · Mide la tensión con un dinamómetro para tres rapideces de giro y concluye cómo depende de v² a radio constante.</t>
  </si>
  <si>
    <t>I5 · Justifica por qué la «fuerza centrífuga» no aparece en el diagrama de cuerpo libre de un observador en reposo.</t>
  </si>
  <si>
    <t>Programar en hoja de cálculo un algoritmo con fórmulas encadenadas que reduzca un circuito mixto y calcule cada corriente.</t>
  </si>
  <si>
    <t>Comunicación (Explicar)
 Explica ante la clase con un diagrama de cuerpo libre qué fuerza real actúa como fuerza centrípeta en tres casos distintos.</t>
  </si>
  <si>
    <t>Convivir
 Acuerda con su equipo la estructura de la hoja de cálculo y respeta las decisiones tomadas en conjunto.
 ↳ Se trabaja en la actividad digital (DigComp 3.4).</t>
  </si>
  <si>
    <t>Habilidades transversales</t>
  </si>
  <si>
    <t>Conocer: definir período, frecuencia y rapidez tangencial. Aplicar: calcular fuerzas con la segunda ley de Newton; calcular período, frecuencia y rapidez; calcular la rapidez de diseño; calcular rapidez y período orbital. Razonar: identificar la fuerza centrípeta en cada caso; justificar la variación de la velocidad; justificar recomendaciones de seguridad vial; justificar la independencia de la masa</t>
  </si>
  <si>
    <t>Hoja de diagramas de cuerpo libre de tres situaciones con el cálculo de la fuerza centrípeta</t>
  </si>
  <si>
    <t>Fuentes reales y leyes de Kirchhoff</t>
  </si>
  <si>
    <t>11. Condensadores</t>
  </si>
  <si>
    <t>3.6. • Identifica qué fuerza real actúa como fuerza centrípeta en cada situación y calcula su magnitud con la segunda ley de Newton.
 • Explica por qué un cuerpo con rapidez constante en una trayectoria circular tiene velocidad variable, apoyándose en la dirección tangente del vector velocidad.
 • Calcula la rapidez máxima segura en curvas planas y peraltadas y explica cómo el ángulo de peralte reduce la dependencia de la fricción.
 • Calcula la rapidez y el período de un satélite en órbita circular y explica por qué no dependen de la masa del satélite.</t>
  </si>
  <si>
    <t>Regla de los nudos y de las mallas
Circuitos de varias mallas
Resistencia interna
Voltaje en los bornes
Batería de automóvil</t>
  </si>
  <si>
    <t>3.3. Determinación de la fuerza electromotriz y la resistencia interna de una pila y aplicación de las reglas de Kirchhoff a circuitos de dos mallas.</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</si>
  <si>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</si>
  <si>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Competencias DigComp 3.0 relacionadas</t>
  </si>
  <si>
    <t>E1 · Recuerda los principios de conservación de la carga y de la energía estudiados en grados anteriores.</t>
  </si>
  <si>
    <t>D1 · Pregunta guía: «¿Cómo calcular las corrientes de un circuito que no se puede reducir a serie y paralelo?».</t>
  </si>
  <si>
    <t>E4 · Utiliza las reglas de Kirchhoff como modelo para plantear un sistema de ecuaciones lineales de un circuito de dos mallas.</t>
  </si>
  <si>
    <t>Uso ético de la información</t>
  </si>
  <si>
    <r>
      <rPr>
        <rFont val="Arial"/>
        <color theme="1"/>
        <sz val="9.0"/>
      </rPr>
      <t>Elaborar en un documento compartido del aula virtual los diagramas de cuerpo libre, repartiendo las situaciones entre los integrantes del grupo.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Iguala la fuerza gravitatoria a la centrípeta y calcula la rapidez y el período de un satélite a 400 km y la altura de una órbita de 24 h. Luego pregúntale a la IA «¿A qué altura debe estar un satélite para tardar 24 h en dar una vuelta?». Revisa si confunde altura con radio orbital. Comprueba la relación período-radio en el simulador.
Evidencia: Ficha «Yo pienso · La IA dice · Lo comprobé»: tus cálculos; la respuesta rotulada «Respuesta de IA»; la diferencia entre altura y radio y lo observado en el simulador, con ✔ o ✘ para la IA. Línea en tu registro de uso de IA.
Refuerza con: PhET «Gravedad y órbitas» (https://phet.colorado.edu/sims/html/gravity-and-orbits/latest/gravity-and-orbits_es.html) · PhET «Leyes de Kepler» (https://phet.colorado.edu/sims/html/keplers-laws/latest/keplers-laws_es.html)
→ PISA D4 · TIMSS Razonar</t>
    </r>
  </si>
  <si>
    <t>D3 · Evalúa la resolución de otro grupo verificando el sentido supuesto de las corrientes y los signos de cada término.</t>
  </si>
  <si>
    <t>Convivir
 Revisa con respeto los diagramas de sus compañeros en el documento compartido y deja comentarios constructivos.
 ↳ Se trabaja en la actividad digital (DigComp 2.4).</t>
  </si>
  <si>
    <t>E3 · Predice el efecto de invertir una de las fuentes sobre las corrientes y justifica el cambio de signos.</t>
  </si>
  <si>
    <t>Circuitos de corriente continua</t>
  </si>
  <si>
    <t>Buscar, usar y compartir información con honestidad: registrar datos reales, citar autores y licencias, verificar fuentes y proteger datos personales.</t>
  </si>
  <si>
    <t>Pensamiento crítico (Indagar)
 Detecta errores de signo en una resolución ajena y argumenta con la regla de las mallas cuál es la versión correcta.</t>
  </si>
  <si>
    <t>1.1, 1.2, 2.1, 2.2, 3.1, 3.2, 3.3 y 4.2</t>
  </si>
  <si>
    <t>Conocer: enunciar las reglas de Kirchhoff. Aplicar: plantear y resolver sistemas de ecuaciones de mallas; obtener parámetros de una gráfica. Razonar: interpretar el modelo de fuente real</t>
  </si>
  <si>
    <t>Registra datos reales sin alterarlos, cita fuentes y licencias, verifica antes de compartir y protege datos personales.</t>
  </si>
  <si>
    <t>Torque y equilibrio del sólido rígido</t>
  </si>
  <si>
    <t>Resolución completa de un circuito de dos mallas con diagrama de corrientes, sistema de ecuaciones y verificación en el montaje</t>
  </si>
  <si>
    <t>Tecnología</t>
  </si>
  <si>
    <t>Modelo de cuerpo rígido 
Sistemas en equilibrio: Palancas y vigas
Torque como producto vectorial
Brazo de palanca
Sentido del torque
Segunda ley de Newton rotacional</t>
  </si>
  <si>
    <t>3.7. Cálculo del torque, aplicación de las dos condiciones de equilibrio del sólido rígido y predicción de la estabilidad de estructuras frente al vuelco.</t>
  </si>
  <si>
    <t>3.3.  • Resuelve circuitos de dos mallas con dos fuentes aplicando las reglas de los nudos y de las mallas mediante un sistema de ecuaciones.
 • Calcula la resistencia interna de una pila a partir de la gráfica del voltaje en sus bornes en función de la corriente entregada.</t>
  </si>
  <si>
    <t>Respeto al medio ambiente, entorno y territorio</t>
  </si>
  <si>
    <t>Cuidar los recursos, la biodiversidad y el territorio salvadoreño; reducir residuos y consumo energético; disponer correctamente residuos químicos y electrónicos.</t>
  </si>
  <si>
    <t>5.2 Identificación de necesidades y respuestas tecnológicas – Básico</t>
  </si>
  <si>
    <t>E6 · Observa el andamio o la grúa de una construcción cercana y reconoce que debe estar en equilibrio para ser segura.</t>
  </si>
  <si>
    <t>Elegir una herramienta digital adecuada, como la vista CAS de GeoGebra, para resolver el sistema de ecuaciones y verificar el resultado manual.</t>
  </si>
  <si>
    <t>D1 · Pregunta guía: «¿Qué tensión soporta el cable que sostiene un rótulo colgado de una viga inclinada?».</t>
  </si>
  <si>
    <r>
      <rPr>
        <rFont val="Arial"/>
        <color theme="1"/>
        <sz val="10.0"/>
      </rPr>
      <t>4.4 Protección del medio ambiente</t>
    </r>
    <r>
      <rPr>
        <rFont val="Arial"/>
        <color rgb="FF7030A0"/>
        <sz val="10.0"/>
      </rPr>
      <t xml:space="preserve">
DigComp 3.0: 4.4 Impacto ambiental de las tecnologías digitales</t>
    </r>
  </si>
  <si>
    <t>Convivir
 Dialoga con respeto con el otro grupo al señalar los errores de su resolución y reconoce los aciertos.</t>
  </si>
  <si>
    <t>E4 · Modela una escalera apoyada en la pared con un diagrama de cuerpo libre y plantea ΣF = 0 y Στ = 0.</t>
  </si>
  <si>
    <t>12. Corriente, fem y resistencia</t>
  </si>
  <si>
    <t>Reduce y dispone correctamente los residuos, ahorra recursos y propone acciones para su comunidad y territorio.</t>
  </si>
  <si>
    <t>D2 · Diseña un montaje con una regla, un dinamómetro y un hilo inclinado para medir la tensión que sostiene una viga en equilibrio.</t>
  </si>
  <si>
    <t>E3 · Predice cómo cambia la tensión del cable si se desplaza la carga hacia el extremo de la viga y lo justifica.</t>
  </si>
  <si>
    <t>Colaboración (Indagar)
 Distribuye con el equipo los cálculos de tensión y las mediciones para comparar resultados de forma conjunta.</t>
  </si>
  <si>
    <t>Convivir</t>
  </si>
  <si>
    <t>Circuitos de corriente continua con medición real y seguridad eléctrica (PISA, competencia 3).</t>
  </si>
  <si>
    <t>Conocer: definir el torque como producto vectorial. Aplicar: resolver sistemas de ecuaciones de equilibrio; calcular la magnitud, la dirección y el sentido del torque; calcular el centro de gravedad. Razonar: predecir cambios en las tensiones; predecir el ángulo de vuelco</t>
  </si>
  <si>
    <t>Energía eléctrica y seguridad</t>
  </si>
  <si>
    <t>Relacionarse con respeto y seguridad: escuchar, acordar, cuidar la integridad propia y ajena en el laboratorio y en entornos digitales, e incluir a todos.</t>
  </si>
  <si>
    <t>Montaje de viga en equilibrio con diagrama de cuerpo libre y cálculo comparado de la tensión</t>
  </si>
  <si>
    <t>2.1, 2.3, 2.4, 2.5, 3.4, 4.1 y 4.3</t>
  </si>
  <si>
    <t>Potencia eléctrica
Efecto Joule
Consumo en kilowatt hora
Efectos fisiológicos de la corriente
Resistencia del cuerpo humano
Protecciones eléctricas</t>
  </si>
  <si>
    <t>Escucha y respeta acuerdos, cuida la seguridad propia y ajena y se comporta con respeto en entornos digitales.</t>
  </si>
  <si>
    <t>3.4. Cálculo de la potencia y la energía consumidas por aparatos del hogar y análisis de los efectos fisiológicos de la corriente y de las medidas de protección.</t>
  </si>
  <si>
    <t>3.7. • Aplica las dos condiciones de equilibrio con funciones trigonométricas para calcular tensiones y reacciones en vigas, escaleras y palancas.
 • Calcula la magnitud, la dirección y el sentido del torque de una fuerza aplicada con cualquier ángulo respecto del brazo de palanca.
 • Calcula el centro de gravedad de cuerpos compuestos y predice el ángulo de inclinación al que un objeto se vuelca.</t>
  </si>
  <si>
    <r>
      <rPr>
        <rFont val="Arial"/>
        <color theme="1"/>
        <sz val="9.0"/>
      </rPr>
      <t>4.3 Cuidado del bienestar – Básico</t>
    </r>
    <r>
      <rPr>
        <rFont val="Arial"/>
        <color rgb="FF7030A0"/>
        <sz val="9.0"/>
      </rPr>
      <t xml:space="preserve">
Con la IA (DigComp 3.0, nivel real): CS1.2.08 – Intermedio: reconoce que los datos con que se entrena una IA influyen en qué tan confiable es.</t>
    </r>
  </si>
  <si>
    <t>E6 · Examina un recibo de energía eléctrica de una familia salvadoreña e identifica el consumo mensual en kilowatt hora.</t>
  </si>
  <si>
    <t>13. Circuitos serie, paralelo y mixtos</t>
  </si>
  <si>
    <t>Escala de observación (para las dos columnas)</t>
  </si>
  <si>
    <t>E3 · Predice qué aparato del hogar consume más energía al mes y justifica considerando su potencia y horas de uso.</t>
  </si>
  <si>
    <t>E1 · Aplica P = VI = I²R = V²/R para calcular la potencia disipada por un resistor alimentado con una pila.</t>
  </si>
  <si>
    <t>I3 · Argumenta con los datos del consumo calculado qué cambios de hábitos reducirían la factura familiar.</t>
  </si>
  <si>
    <t>Nivel</t>
  </si>
  <si>
    <t>E6 · Explica el impacto ambiental del consumo eléctrico considerando la matriz de generación de El Salvador.</t>
  </si>
  <si>
    <r>
      <rPr>
        <rFont val="Arial"/>
        <color theme="1"/>
        <sz val="9.0"/>
      </rPr>
      <t>Organizar pausas activas y cuidar la postura durante la sesión larga de resolución de problemas frente a la computadora.</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Apila tres cajas o libros desplazándolos cada vez más y anota si la torre se mantiene o se vuelca. Toma 20 fotos de cada caso y entrena un modelo en Teachable Machine con las clases «estable» y «se vuelca». Calcula tú el centro de gravedad de cada torre y decide con la base de apoyo. Prueba el modelo con torres nuevas y compara sus aciertos con los de tu cálculo.
Evidencia: Ficha «Yo pienso · La IA dice · Lo comprobé»: tus cálculos del centro de gravedad; lo que predijo el modelo rotulado «Respuesta de IA»; lo que pasó con cada torre real, con ✔ o ✘ para el modelo y para tu cálculo. Línea en tu registro de uso de IA.
→ PISA D2 · TIMSS Razonar</t>
    </r>
  </si>
  <si>
    <t>Comunicación (Reforzar)
 Presenta a su familia un resumen escrito del consumo por aparato con recomendaciones de ahorro sustentadas en sus cálculos.</t>
  </si>
  <si>
    <t>Descripción</t>
  </si>
  <si>
    <t>Convivir
 Acuerda con el equipo los tiempos de pausa y respeta el ritmo de trabajo de cada integrante.
 ↳ Se trabaja en la actividad digital (DigComp 4.3).</t>
  </si>
  <si>
    <t>Conocer: definir la potencia eléctrica y el kilowatt hora; describir efectos fisiológicos. Aplicar: calcular potencia y consumo mensual; estimar corrientes. Razonar: justificar medidas de seguridad</t>
  </si>
  <si>
    <t>Tabla de consumo mensual por aparato del hogar con cálculos de potencia y energía en kilowatt hora</t>
  </si>
  <si>
    <t>14. Fuentes reales y leyes de Kirchhoff</t>
  </si>
  <si>
    <t>U4 - Razonar temas · RazonarRazonar h - Eje integrador: energía</t>
  </si>
  <si>
    <t>3.4. • Calcula la potencia disipada en un resistor y el consumo mensual de energía de aparatos domésticos en kilowatt hora.
 • Estima con la ley de Ohm la corriente que atravesaría el cuerpo humano en distintas condiciones y justifica las medidas de seguridad eléctrica.</t>
  </si>
  <si>
    <t>Con ayuda</t>
  </si>
  <si>
    <t>Muestra la habilidad cuando la docente lo guía paso a paso.</t>
  </si>
  <si>
    <t>4. Trabajo, energía y momento</t>
  </si>
  <si>
    <t>Estimar el consumo energético de sus propios dispositivos digitales y proponer hábitos de carga que lo reduzcan.</t>
  </si>
  <si>
    <t>Respeto al medio ambiente, entorno y territorio
 Propone medidas de ahorro de energía en su hogar que reduzcan el impacto ambiental de la generación eléctrica.
 ↳ Se trabaja en la actividad digital (DigComp 4.4).</t>
  </si>
  <si>
    <t>15. Energía eléctrica y seguridad</t>
  </si>
  <si>
    <t>Trabajo y energía cinética</t>
  </si>
  <si>
    <t>Energía cinética
Teorema del trabajo y la energía cinética
Trabajo de una fuerza constante 
Trabajo de una fuerza variable: Área bajo la curva F-x
 Ley de Hooke</t>
  </si>
  <si>
    <t>Sin pasar a corriente alterna. Profundiza «Electricidad» de 9.°.</t>
  </si>
  <si>
    <t>4.1. Cálculo del trabajo de fuerzas constantes y variables (área bajo la curva) y aplicación del teorema del trabajo y la energía cinética.</t>
  </si>
  <si>
    <t>Resuelve problemas de varias etapas con el teorema del trabajo y la energía, la conservación de la energía mecánica y del momento lineal, y evalúa la eficiencia de las cadenas de transformación de la energía en El Salvador.</t>
  </si>
  <si>
    <t>En proceso</t>
  </si>
  <si>
    <t>Muestra la habilidad con recordatorios ocasionales.</t>
  </si>
  <si>
    <t>4. Magnetismo y electromagnetismo</t>
  </si>
  <si>
    <t>Valoración del uso eficiente de la energía en el hogar, la escuela y la comunidad. Interés por comprender las transformaciones de energía en la generación hidroeléctrica y geotérmica del país.</t>
  </si>
  <si>
    <t>Campo magnético</t>
  </si>
  <si>
    <t>Magnetismo y electromagnetismo</t>
  </si>
  <si>
    <t>Experimento de Oersted
Campo de un conductor rectilíneo y de una espira
Imanes y polos. Líneas de campo magnético
Campo magnético terrestre
Ley de Ampère
Ejemplos: Conductor infinitamente largo. Solenoide
 Dominios magnéticos. Ferromagnetismo, paramagnetismo y diamagnetismo
 Almacenamiento magnético</t>
  </si>
  <si>
    <t>E6 · Analiza por qué la distancia de frenado de un bus aumenta tanto cuando la rapidez se duplica en una calle con lluvia.</t>
  </si>
  <si>
    <t>4.1. Representación y medición del campo magnético de imanes, conductores y bobinas, aplicación de la ley de Ampère y clasificación de materiales magnéticos.</t>
  </si>
  <si>
    <t>E5 · Formula una hipótesis sobre la relación entre la rapidez inicial de un carrito y la distancia que recorre hasta detenerse.</t>
  </si>
  <si>
    <t>Lo logra</t>
  </si>
  <si>
    <t>E1 · Aplica W_neto = ΔK para relacionar la fuerza de frenado con la distancia recorrida por un vehículo.</t>
  </si>
  <si>
    <t>Relaciona campos magnéticos, fuerzas magnéticas e inducción para explicar motores, generadores, transformadores y ondas electromagnéticas, y evalúa con evidencia tecnologías de comunicación y afirmaciones sobre radiación no ionizante.</t>
  </si>
  <si>
    <t>Muestra la habilidad por iniciativa propia y ayuda a otros a mostrarla.</t>
  </si>
  <si>
    <t>D4 · Grafica la distancia de frenado de un carrito en función de v² y concluye a partir de la pendiente el valor de la fuerza de frenado.</t>
  </si>
  <si>
    <t>16. Campo magnético</t>
  </si>
  <si>
    <t>I5 · Justifica con cálculos por qué los límites de velocidad en zonas escolares salvan vidas.</t>
  </si>
  <si>
    <t>Pensamiento crítico (Reforzar)
 Evalúa si el argumento de que «frenar a tiempo solo depende de los reflejos» es correcto usando el teorema trabajo-energía.</t>
  </si>
  <si>
    <t>Curiosidad por el campo magnético terrestre y sus efectos en la orientación y la protección de la vida. Responsabilidad en el manejo de imanes potentes y en la recuperación de materiales magnéticos.</t>
  </si>
  <si>
    <t>Magnetismo del planeador + Electromagnetismo oficial + corriente alterna: de la fuerza magnética a la inducción y las telecomunicaciones.</t>
  </si>
  <si>
    <t>Conocer: enunciar el teorema del trabajo y la energía cinética; definir el trabajo como producto escalar; recordar la ley de Hooke. Aplicar: calcular distancias de frenado y rapideces finales; calcular el trabajo de cada fuerza y el trabajo neto; calcular el trabajo como área bajo la gráfica fuerza-posición</t>
  </si>
  <si>
    <t>Gráfica de distancia de frenado contra v² con el cálculo de la fuerza de frenado a partir de la pendiente</t>
  </si>
  <si>
    <t>COMUNICACIÓN: Representar mediante ecuaciones, gráficas fuerza-posición y diagramas de barras de energía las transferencias y transformaciones de energía mecánica, para explicar el efecto de las fuerzas no conservativas y la eficiencia de máquinas y sistemas de generación.</t>
  </si>
  <si>
    <t>4.1. • Aplica el teorema del trabajo y la energía cinética para calcular distancias de frenado y rapideces finales en situaciones con varias fuerzas.
 • Calcula el trabajo de cada fuerza y el trabajo neto sobre un cuerpo cuando las fuerzas forman ángulos distintos con el desplazamiento.
 • Calcula el trabajo de una fuerza variable a partir del área bajo la gráfica fuerza-posición, incluido el caso de un resorte.</t>
  </si>
  <si>
    <t>E1 · Recuerda el experimento de Oersted y observa cómo se desvía una brújula junto a un cable conectado a una pila.</t>
  </si>
  <si>
    <t>E5 · Formula una hipótesis sobre cómo varía el campo magnético al alejarse del conductor.</t>
  </si>
  <si>
    <t>17. Fuerza magnética y motor eléctrico</t>
  </si>
  <si>
    <t>El trabajo es el mecanismo por el cual una fuerza transfiere energía a un sistema, y la energía total de un sistema aislado se conserva aunque se transforme de una forma a otra. Las fuerzas no conservativas, como la fricción, convierten energía mecánica en energía interna, lo que limita la eficiencia de toda máquina y orienta el aprovechamiento responsable de los recursos energéticos.</t>
  </si>
  <si>
    <t>E1 · Aplica B = μ₀I/(2πr) para calcular el campo magnético a varias distancias de un conductor rectilíneo.</t>
  </si>
  <si>
    <t>D4 · Interpreta la gráfica del campo medido con phyphox en función de 1/r para verificar la relación inversa.</t>
  </si>
  <si>
    <t>D3 · Evalúa cómo el campo terrestre y los objetos metálicos cercanos afectaron sus mediciones y propone correcciones.</t>
  </si>
  <si>
    <t>Colaboración (Explorar)
 Coordina con su equipo las mediciones a distintas distancias y comparten los datos en una tabla común.</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</si>
  <si>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</si>
  <si>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Conocer: describir líneas de campo; clasificar materiales según su permeabilidad magnética. Aplicar: calcular y medir campos magnéticos; representar campos; usar la ley de Ampère. Razonar: verificar una relación inversa con datos; interpretar la declinación; justificar la elección de la trayectoria cerrada; explicar aplicaciones tecnológicas</t>
  </si>
  <si>
    <t>Gráfica B en función de 1/r con datos del magnetómetro y comparación con el valor teórico</t>
  </si>
  <si>
    <t>18. Introducción a las ecuaciones de Maxwell</t>
  </si>
  <si>
    <t>INDAGACIÓN: Medir el campo magnético generado por corrientes con sensores y brújulas, y contrastar los resultados con la ley de Ampère, para explicar el funcionamiento de electroimanes y de las aplicaciones de los materiales magnéticos.</t>
  </si>
  <si>
    <t>Malla oficial 10.° grado, Unidad 2 (3 semanas oficiales)</t>
  </si>
  <si>
    <r>
      <rPr>
        <rFont val="Arial"/>
        <color theme="1"/>
        <sz val="9.0"/>
      </rPr>
      <t>Organizar los datos de rapidez y distancia en una hoja de cálculo y obtener la línea de tendencia de la gráfica.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Empuja un carrito sobre el piso, mide su rapidez en un tramo y la distancia hasta detenerse; repite con más rapidez. Aplica el teorema del trabajo y la energía para calcular la fuerza de rozamiento. Antes de usar la IA, predice qué pasa con la distancia si duplicas la rapidez. Pregúntale «Si duplico la rapidez de un carro, ¿cuánto aumenta su distancia de frenado?». Compara con tus datos.
Evidencia: Ficha «Yo pienso · La IA dice · Lo comprobé»: tu predicción, tabla rapidez-distancia y la fuerza de rozamiento; la respuesta rotulada «Respuesta de IA»; la relación que muestran tus datos, con ✔ o ✘ para la IA. Línea en tu registro de uso de IA.
→ PISA D4 · TIMSS Razonar</t>
    </r>
  </si>
  <si>
    <t xml:space="preserve">Oficial de 10.° ubicada en 11.° por la base sugerida. </t>
  </si>
  <si>
    <t>Respeto al medio ambiente, entorno y territorio
 Relaciona la conducción a velocidad moderada con menor consumo de combustible y menor contaminación del aire urbano.</t>
  </si>
  <si>
    <t xml:space="preserve">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
  </si>
  <si>
    <t>4.1.  • Calcula el campo magnético de un conductor rectilíneo largo y verifica experimentalmente su dependencia inversa con la distancia.
 • Representa las líneas de campo magnético de imanes y de la Tierra, e interpreta la declinación magnética en su localidad.
 • Aplica la ley de Ampère para deducir el campo magnético en el interior de un solenoide y lo compara con el medido en un electroimán de pilas.
 • Clasifica materiales en ferromagnéticos, paramagnéticos y diamagnéticos según su permeabilidad y explica aplicaciones como el disco duro y la detección de huellas dactilares.</t>
  </si>
  <si>
    <t>Las corrientes eléctricas generan campos magnéticos cuya intensidad depende de la corriente y de la geometría del conductor, como lo describe la ley de Ampère. Este principio, junto con las propiedades de los materiales ferromagnéticos, sustenta tecnologías como los electroimanes, la resonancia magnética y el almacenamiento magnético de información.</t>
  </si>
  <si>
    <t>Registrar las mediciones del grupo en una hoja de cálculo compartida en línea y comparar resultados entre equipos.</t>
  </si>
  <si>
    <t>Convivir
 Cuida los teléfonos de sus compañeros durante las mediciones y respeta los acuerdos del equipo.
 ↳ Se trabaja en la actividad digital (DigComp 2.4).</t>
  </si>
  <si>
    <t>19. Corriente alterna y transformador</t>
  </si>
  <si>
    <t xml:space="preserve">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μ₀: permeabilidad magnética del vacío, 4π × 10⁻⁷ T·m/A. </t>
  </si>
  <si>
    <t>Incluye 6.5 y transformadores (8.9).</t>
  </si>
  <si>
    <t>Fuerza magnética y motor eléctrico</t>
  </si>
  <si>
    <t>20. Ondas electromagnéticas</t>
  </si>
  <si>
    <t>Par de torsión en una espira. Momento magnético
Motor de corriente continua
Fuerza de Lorentz. Producto vectorial. Regla de la mano derecha
Movimiento circular en un campo magnético. Radio de la trayectoria. Frecuencia de ciclotrón
Fuerza sobre un conductor
Balanza de corriente
Altavoz</t>
  </si>
  <si>
    <t>Sin espectro ni energía (oficial 2.4–2.6); + radiación no ionizante.</t>
  </si>
  <si>
    <t>4.2. Cálculo de la fuerza magnética sobre cargas en movimiento y sobre conductores con corriente, y análisis del funcionamiento del motor de corriente continua.</t>
  </si>
  <si>
    <t>Conservación de la energía mecánica</t>
  </si>
  <si>
    <t>E1 · Recuerda el motor de corriente directa que construyó en 9.° y describe qué lo hacía girar.</t>
  </si>
  <si>
    <t>Energía mecánica total
Energía potencial elástica y gravitatoria
Diagramas de energía
Fuerza conservativa y no conservativa
Energía disipada</t>
  </si>
  <si>
    <t>D1 · Pregunta guía: «¿Por qué el par sobre la bobina cambia de valor mientras gira el motor?».</t>
  </si>
  <si>
    <t>4.2. Aplicación de la conservación de la energía mecánica con energía potencial gravitatoria y elástica, y cálculo del trabajo de las fuerzas no conservativas.</t>
  </si>
  <si>
    <t>21. Telecomunicaciones</t>
  </si>
  <si>
    <t>E2 · Representa el par τ = NIAB sen θ en una gráfica en función del ángulo de giro de la espira.</t>
  </si>
  <si>
    <t>D4 · Mide la velocidad de giro de un motor pequeño de juguete con distintas cantidades de pilas y concluye cómo influye la corriente.</t>
  </si>
  <si>
    <t>E6 · Explica la importancia de los motores eléctricos en la movilidad eléctrica y en la industria salvadoreña.</t>
  </si>
  <si>
    <t>E1 · Recuerda la conservación de la energía en el péndulo de 8.° y la extiende a un carrito lanzado por un resorte.</t>
  </si>
  <si>
    <t>Creatividad (Aproximar)
 Imagina usos nuevos para motores recuperados de juguetes dañados y los describe en un boceto.</t>
  </si>
  <si>
    <t>E3 · Pregunta guía: «¿A qué altura llegará un carrito lanzado por un resorte comprimido el doble?», y justifica su predicción.</t>
  </si>
  <si>
    <t>E2 · Construye diagramas de barras de energía cinética, potencial gravitatoria y elástica en cuatro instantes del movimiento.</t>
  </si>
  <si>
    <t>Conocer: describir la fuerza magnética sobre una carga en movimiento; describir el funcionamiento de un altavoz. Aplicar: calcular par de torsión; calcular la fuerza y su dirección con la regla de la mano derecha; calcular radio y período; calcular la fuerza sobre un conductor con corriente. Razonar: explicar el funcionamiento del conmutador; comparar movimientos en campos eléctricos y magnéticos</t>
  </si>
  <si>
    <t>D4 · Compara la altura alcanzada por un carrito lanzado con un resorte con la calculada a partir de ½kx² = mgh.</t>
  </si>
  <si>
    <t>Gráfica par-ángulo de una espira y tabla de velocidad de giro del motor según el número de pilas</t>
  </si>
  <si>
    <t>D3 · Evalúa por qué los resultados experimentales no coinciden totalmente con la conservación ideal y propone mejoras.</t>
  </si>
  <si>
    <t>Pensamiento crítico (Reforzar)
 Cuestiona la suposición de energía mecánica constante al identificar las pérdidas en el experimento del resorte.</t>
  </si>
  <si>
    <t>Óptica e instrumentos</t>
  </si>
  <si>
    <t>4.2.  • Calcula el par de torsión sobre una bobina en un campo magnético y explica el papel del conmutador en el giro continuo de un motor.
 • Calcula la fuerza magnética sobre una carga en movimiento y determina su dirección con la regla de la mano derecha en situaciones tridimensionales.
 • Calcula el radio y el período de la trayectoria circular de una partícula cargada en un campo magnético y los compara con el movimiento en un campo eléctrico.
 • Calcula la fuerza magnética sobre un conductor rectilíneo con corriente y explica con ella el funcionamiento de un altavoz.</t>
  </si>
  <si>
    <t>Conocer: identificar las formas de energía mecánica; definir fuerza conservativa; reconocer las fuerzas no conservativas. Aplicar: resolver problemas de conservación con diagramas de barras de energía; calcular la energía potencial gravitatoria; calcular trabajo en trayectorias cerradas; calcular la energía disipada con W_nc = ΔK + ΔU. Razonar: justificar la independencia de la trayectoria; clasificar fuerzas</t>
  </si>
  <si>
    <t>Diagramas de barras de energía y comparación entre altura calculada y altura medida del carrito</t>
  </si>
  <si>
    <t>Recuperar motores e imanes de juguetes y aparatos en desuso y documentar cómo se reduce así la basura electrónica.</t>
  </si>
  <si>
    <t>4.2. • Resuelve problemas de conservación de la energía mecánica en sistemas con resortes y cambios de altura usando diagramas de barras de energía.
 • Calcula el trabajo del peso a lo largo de trayectorias distintas y demuestra que solo depende del cambio de altura.
 • Diferencia fuerzas conservativas de no conservativas con base en el trabajo que realizan en una trayectoria cerrada.
 • Calcula la energía mecánica disipada por la fricción en situaciones reales.</t>
  </si>
  <si>
    <t>Respeto al medio ambiente, entorno y territorio
 Reutiliza motores de aparatos en desuso y entrega el resto de componentes a un punto de acopio de residuos electrónicos.
 ↳ Se trabaja en la actividad digital (DigComp 4.4).</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</si>
  <si>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</si>
  <si>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22. Lentes y ojo humano</t>
  </si>
  <si>
    <r>
      <rPr>
        <rFont val="Arial"/>
        <color theme="1"/>
        <sz val="9.0"/>
      </rPr>
      <t>Programar un script sencillo en Python o un algoritmo en hoja de cálculo que calcule la altura máxima para distintas compresiones del resorte.</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Mide la constante k de una liga colgando masas. Luego estírala una distancia x, lanza un carrito y mide su rapidez en un tramo. Predice tú la rapidez con ½kx² = ½mv². Después dale tus datos a la IA y pídele la misma predicción con los pasos. Compara las tres cifras (tuya, IA y medida) y explica las diferencias. Comprueba la conservación en el simulador.
Evidencia: Ficha «Yo pienso · La IA dice · Lo comprobé»: tu medición de k, tu predicción y la rapidez medida; la predicción rotulada «Respuesta de IA»; el diagrama de barras de energía y la explicación de las diferencias, con ✔ o ✘ para la IA. Línea en tu registro de uso de IA.
Refuerza con: PhET «Masas y resortes» (https://phet.colorado.edu/sims/html/masses-and-springs/latest/masses-and-springs_es.html) · PhET «Energía en la pista de patinaje: Intro» (https://phet.colorado.edu/sims/html/energy-skate-park-basics/latest/energy-skate-park-basics_es.html)
→ PISA D4 · TIMSS Razonar</t>
    </r>
  </si>
  <si>
    <t>Solo la óptica que no cubre la unidad oficial de 10.°: lentes y ojo, interferencia y difracción cuantitativas.</t>
  </si>
  <si>
    <t>Convivir
 Revisa con su pareja el algoritmo, acepta sugerencias y reconoce los aportes de cada quien en el código.
 ↳ Se trabaja en la actividad digital (DigComp 3.4).</t>
  </si>
  <si>
    <t>Introducción a las ecuaciones de Maxwell</t>
  </si>
  <si>
    <t>Relación electricidad y magnetismo
 Generadores y motores
 Aceleradores de partículas</t>
  </si>
  <si>
    <t>Potencia, eficiencia y transformaciones</t>
  </si>
  <si>
    <t>4.3. Demostración práctica del voltaje inducido. Comprobación experimental de las ecuaciones de Maxwell. Cálculo de magnitudes físicas en dispositivos electromagnéticos.</t>
  </si>
  <si>
    <t>Energía interna, química, eléctrica y nuclear
Principio de conservación de la energía
Cadenas de transformación
Potencia media e instantánea 
Eficiencia</t>
  </si>
  <si>
    <t>4.3. Cálculo de la potencia y la eficiencia de máquinas y análisis de cadenas de transformación de la energía en la generación eléctrica de El Salvador.</t>
  </si>
  <si>
    <t>23. Interferencia y difracción de la luz</t>
  </si>
  <si>
    <t>E1 · Recuerda lo visto en la unidad anterior sobre el campo magnético de una bobina y observa la aguja de un multímetro al mover un imán dentro de ella.</t>
  </si>
  <si>
    <t>E6 · Reconoce la participación de la geotermia de Ahuachapán y Berlín y de la hidroelectricidad en la matriz energética salvadoreña.</t>
  </si>
  <si>
    <t>D1 · Pregunta guía: «¿Por qué aparece voltaje solo mientras el imán se mueve y no cuando está quieto dentro de la bobina?».</t>
  </si>
  <si>
    <t>E3 · Pregunta guía: «¿Dónde está la energía que “se pierde” en una central geotérmica?», y justifica su respuesta.</t>
  </si>
  <si>
    <t>E4 · Utiliza el modelo de flujo magnético Φ = BA cos θ y la ley de Faraday ε = −NΔΦ/Δt para explicar el voltaje inducido.</t>
  </si>
  <si>
    <t>E4 · Construye un diagrama de flujo de energía de una central geotérmica desde el vapor hasta la electricidad entregada.</t>
  </si>
  <si>
    <t>D4 · Interpreta cómo cambian el signo y la magnitud del voltaje inducido al variar la rapidez y el sentido del imán, y lo relaciona con la ley de Lenz.</t>
  </si>
  <si>
    <t>I3 · Argumenta con datos oficiales de generación qué fuentes aportan más energía al país y con qué eficiencia aproximada.</t>
  </si>
  <si>
    <t>E6 · Explica que los generadores de las centrales geotérmicas de Ahuachapán y Berlín producen electricidad mediante inducción electromagnética.</t>
  </si>
  <si>
    <t>I5 · Justifica una propuesta de ahorro energético escolar con base en las transformaciones de energía estudiadas.</t>
  </si>
  <si>
    <t>Pensamiento crítico (Aproximar)
 Cuestiona la idea previa de que un imán quieto dentro de una bobina produce corriente y propone cómo comprobarlo.</t>
  </si>
  <si>
    <t>Comunicación (Aproximar)
 Comunica en un diagrama de flujo claro las transformaciones de energía de una central salvadoreña.</t>
  </si>
  <si>
    <t>Conocer: identificar formas de energía; definir potencia y eficiencia y sus unidades. Aplicar: calcular eficiencias; calcular potencia y eficiencia. Razonar: argumentar con datos; comparar el rendimiento de máquinas con datos de placa</t>
  </si>
  <si>
    <t>Conocer: enunciar las leyes de Faraday y de Lenz; enunciar las ecuaciones de Maxwell; recordar las relaciones de cada dispositivo electromagnético. Aplicar: calcular flujo y fem inducida; calcular fem, radio y energía. Razonar: vincular cada ecuación con evidencia experimental</t>
  </si>
  <si>
    <t>Diagrama de flujo de energía de una central salvadoreña con cálculo de eficiencia global</t>
  </si>
  <si>
    <t>Tabla de voltajes inducidos según la rapidez y el sentido del imán, con explicación basada en las leyes de Faraday y Lenz</t>
  </si>
  <si>
    <t>Física moderna: cuántica, relatividad y núcleo</t>
  </si>
  <si>
    <t>4.3.  • Explica la conservación de la energía en una cadena de transformaciones y calcula la eficiencia global del proceso.
 • Calcula la potencia y la eficiencia de máquinas y motores, y compara su rendimiento con datos de placa.</t>
  </si>
  <si>
    <t>4.3. • Explica el fenómeno de la inducción de voltaje.
 • Reconoce a partir de un experimento los principios físicos descritos por las ecuaciones de Maxwell.
 • Calcula magnitudes físicas en dispositivos electromagnéticos.</t>
  </si>
  <si>
    <t xml:space="preserve">Energia
</t>
  </si>
  <si>
    <r>
      <rPr>
        <rFont val="Arial"/>
        <color theme="1"/>
        <sz val="9.0"/>
      </rPr>
      <t>2.3 Participación ciudadana a través de tecnologías digitales – Básico</t>
    </r>
    <r>
      <rPr>
        <rFont val="Arial"/>
        <color rgb="FF7030A0"/>
        <sz val="9.0"/>
      </rPr>
      <t xml:space="preserve">
Con la IA (DigComp 3.0, nivel real): CS1.2.13 – Intermedio: valora qué tan confiable es una fuente, teniendo en cuenta el papel de la IA.</t>
    </r>
  </si>
  <si>
    <t>Contrastar sus observaciones con el simulador PhET «Laboratorio electromagnético de Faraday» variando el número de espiras.</t>
  </si>
  <si>
    <t>Respeto al medio ambiente, entorno y territorio
 Valora la generación geotérmica salvadoreña como fuente renovable que aprovecha la inducción para producir electricidad.</t>
  </si>
  <si>
    <r>
      <rPr>
        <rFont val="Arial"/>
        <color theme="1"/>
        <sz val="9.0"/>
      </rPr>
      <t>Participar con datos de consumo energético del centro escolar en una iniciativa escolar o ciudadana de ahorro de energía.</t>
    </r>
    <r>
      <rPr>
        <rFont val="Arial"/>
        <color rgb="FF7030A0"/>
        <sz val="9.0"/>
      </rPr>
      <t xml:space="preserve">
IA (Indagar · el estudiante, solo o en pareja).
Herramienta y medio: Climate TRACE (climatetrace.org) en el navegador, sin cuenta.
Actividad: Dibuja la cadena de transformaciones de energía de una geotérmica, una hidroeléctrica y una térmica de El Salvador. Escribe cuál crees que emite más CO₂ por energía generada. Busca en Climate TRACE el sector eléctrico del país y anota qué centrales aparecen con emisiones estimadas por IA. Compara con los datos de generación de CEL y escribe qué limitaciones tiene una estimación satelital.
Evidencia: Ficha «Yo pienso · La IA dice · Lo comprobé»: tus tres cadenas de energía y tu predicción; las emisiones estimadas rotuladas «Respuesta de IA»; los datos de CEL y las limitaciones de la estimación, con ✔ o ✘ para tu predicción. Línea en tu registro de uso de IA.
Refuerza con: CEL: centrales hidroeléctricas de El Salvador (https://www.cel.gob.sv)
→ PISA I3 · TIMSS Razonar</t>
    </r>
  </si>
  <si>
    <t>Oficial</t>
  </si>
  <si>
    <t>Convivir
 Dialoga con la comunidad escolar sobre la propuesta de ahorro y toma en cuenta las opiniones de otros sectores.
 ↳ Se trabaja en la actividad digital (DigComp 2.3).</t>
  </si>
  <si>
    <t>24. Naturaleza cuántica de la luz y la materia</t>
  </si>
  <si>
    <t>Malla oficial 11.° grado, Unidad 2 (3 semanas oficiales)</t>
  </si>
  <si>
    <t>Impulso, momento y colisiones</t>
  </si>
  <si>
    <t>Corriente alterna y transformador</t>
  </si>
  <si>
    <t xml:space="preserve">Sistema aislado
Fuerzas internas y externas
Conservación vectorial del momento
Impulso de una fuerza variable
Área bajo la curva F-t
Fuerza media de impacto
Colisión elástica e inelástica </t>
  </si>
  <si>
    <t>Transformador
 Relación de espiras
 Transporte de energía eléctrica
 Voltaje y corriente sinusoidales
 Valores eficaces
 Frecuencia de la red</t>
  </si>
  <si>
    <t>4.4. Cálculo del impulso y aplicación de la conservación del momento lineal en explosiones, retroceso y colisiones elásticas e inelásticas en una dimensión.</t>
  </si>
  <si>
    <t>4.4. Análisis de la corriente alterna sinusoidal y sus valores eficaces, y del papel del transformador en el transporte de energía en la red salvadoreña.</t>
  </si>
  <si>
    <t>Física moderna del planeador integrada con la unidad oficial (relatividad, radiación, fisión y fusión).</t>
  </si>
  <si>
    <t>E1 · Recuerda los cálculos de conservación del momento de 8.° al observar el retroceso de una lancha cuando alguien salta al muelle en el lago de Coatepeque.</t>
  </si>
  <si>
    <t>E3 · Pregunta guía: «¿Qué velocidad adquieren dos carritos unidos por un resorte comprimido al soltarse?», y predice la relación entre sus rapideces.</t>
  </si>
  <si>
    <t>E6 · Reconoce los transformadores de los postes de su colonia y las subestaciones que reciben la energía de las centrales del país.</t>
  </si>
  <si>
    <t>E4 · Modela el sistema de dos carritos distinguiendo fuerzas internas y externas y plantea la conservación del momento total.</t>
  </si>
  <si>
    <t>E5 · Formula una hipótesis sobre por qué la energía de la geotérmica de Berlín viaja por las líneas a 115 kV y no a 120 V.</t>
  </si>
  <si>
    <t>D4 · Mide con video las velocidades de dos carritos de distinta masa al separarse y verifica que el momento total se mantiene nulo.</t>
  </si>
  <si>
    <t>E3 · Predice el retroceso de un cohete de agua y justifica por qué la propulsión funciona también en el vacío.</t>
  </si>
  <si>
    <t>E1 · Aplica V₂/V₁ = N₂/N₁ e I₁V₁ = I₂V₂ para calcular voltajes y corrientes en un transformador ideal.</t>
  </si>
  <si>
    <t>Colaboración (Explicar)
 Construye con el equipo una explicación común del retroceso integrando las mediciones de cada integrante.</t>
  </si>
  <si>
    <t>E4 · Utiliza el modelo de pérdidas P = I²R en las líneas para comparar el transporte de energía a alto y a bajo voltaje.</t>
  </si>
  <si>
    <t>I5 · Justifica con cálculos por qué la red de transmisión eleva el voltaje, observando la red solo desde fuera y sin manipularla.</t>
  </si>
  <si>
    <t>Conocer: enunciar la conservación del momento lineal; definir colisiones elásticas e inelásticas. Aplicar: calcular velocidades en explosiones y retrocesos; calcular el impulso por el área; calcular la energía cinética perdida y el coeficiente de restitución. Razonar: relacionar tiempo de contacto y fuerza media; clasificar colisiones con datos experimentales</t>
  </si>
  <si>
    <t>Tabla de masas y velocidades de los carritos con verificación del momento total antes y después</t>
  </si>
  <si>
    <t>25. Teoría de la relatividad especial</t>
  </si>
  <si>
    <t>Comunicación (Reforzar)
 Elabora una infografía clara del recorrido de la energía desde la central hasta su casa para explicarla a su familia.</t>
  </si>
  <si>
    <t>Conocer: definir valor máximo, valor eficaz y período. Aplicar: calcular relaciones del transformador y pérdidas; calcular los valores de la red de 120 V y 60 Hz. Razonar: justificar el transporte a alto voltaje</t>
  </si>
  <si>
    <t>Infografía del recorrido de la energía eléctrica en El Salvador con cálculos de transformación y pérdidas en las líneas</t>
  </si>
  <si>
    <t>4.4. • Aplica la conservación del momento lineal en forma vectorial para calcular velocidades en explosiones, retrocesos y separaciones de sistemas.
 • Calcula el impulso como área bajo una gráfica fuerza-tiempo y explica cómo aumentar el tiempo de contacto reduce la fuerza media de impacto.
 • Clasifica colisiones unidimensionales calculando la energía cinética perdida y el coeficiente de restitución a partir de datos experimentales.</t>
  </si>
  <si>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</si>
  <si>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4.4.  • Calcula el voltaje y la corriente en el secundario de un transformador ideal y justifica por qué la energía se transporta a alto voltaje para reducir pérdidas.
 • Calcula el voltaje máximo, el valor eficaz y el período de una señal alterna, y los aplica a la red eléctrica salvadoreña de 120 V y 60 Hz.</t>
  </si>
  <si>
    <t>26. Núcleo atómico y energía de enlace</t>
  </si>
  <si>
    <t>Crear una infografía digital del sistema de transmisión con datos de voltaje en cada etapa y cálculos de pérdidas.</t>
  </si>
  <si>
    <t>Incluye partículas elementales y cosmología (17.6–17.7).</t>
  </si>
  <si>
    <t>Respeto al medio ambiente, entorno y territorio
 Reflexiona sobre el impacto de las líneas de transmisión y las subestaciones en el territorio y en las comunidades cercanas.</t>
  </si>
  <si>
    <r>
      <rPr>
        <rFont val="Arial"/>
        <color theme="1"/>
        <sz val="9.0"/>
      </rPr>
      <t>Discutir en el foro del aula virtual los resultados de los grupos y comparar las velocidades obtenidas.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Junta dos carritos de masa distinta con una liga tensa entre ellos y suéltalos: mide la distancia que recorre cada uno en el mismo tiempo. Antes, predice la razón de distancias. Pregúntale al cuaderno NotebookLM «¿Por qué se conserva el momento en una explosión si la energía cinética aumenta?». Comprueba con tus datos y en el simulador.
Evidencia: Ficha «Yo pienso · La IA dice · Lo comprobé»: tu predicción y la razón de distancias medida; la explicación rotulada «Respuesta de IA»; la comprobación en el simulador, con ✔ o ✘ para la IA. Línea en tu registro de uso de IA.
Refuerza con: PhET «Laboratorio de colisiones» (https://phet.colorado.edu/sims/html/collision-lab/latest/collision-lab_es.html)
→ PISA D4 · TIMSS Razonar</t>
    </r>
  </si>
  <si>
    <t>Convivir
 Participa en el foro con mensajes respetuosos y responde a las dudas de otros grupos con argumentos.
 ↳ Se trabaja en la actividad digital (DigComp 2.1).</t>
  </si>
  <si>
    <t>Ondas electromagnéticas</t>
  </si>
  <si>
    <t>U5 - Aplicar temas · AplicarAplicar h - Eje integrador: tecnología</t>
  </si>
  <si>
    <t>27. Desintegración radiactiva</t>
  </si>
  <si>
    <t>Espectro electromagnético
Ondas electromagnéticas
Energía transportada por ondas electromagnéticas
Antenas de telefonía y wifi
Hornos de microondas
Límites de exposición</t>
  </si>
  <si>
    <t>4.5. Indagación y experimentacion de los tipos de ondas que se encuentran en el espectro electromagnético e identificacion de sus propiedades. Resolución de problemas teóricos a partir de las gráficas de los campos eléctrico y magnético de una onda electromagnética. Evaluación crítica de afirmaciones sobre los efectos en la salud de la radiación no ionizante emitida por antenas, redes wifi y hornos de microondas.</t>
  </si>
  <si>
    <t>Sin 16.8 (Química) ni 17.1–17.5 (oficial). Sin fuentes reales.</t>
  </si>
  <si>
    <t>5. Mecánica de fluidos</t>
  </si>
  <si>
    <t>E1 · Recuerda que la luz visible, las ondas de radio y los rayos X son ondas electromagnéticas que viajan a la misma rapidez en el vacío.</t>
  </si>
  <si>
    <t>D1 · Pregunta guía: «¿Qué distingue a una onda de radio de la luz visible si ambas son electromagnéticas?».</t>
  </si>
  <si>
    <t>E2 · Representa el espectro electromagnético en una escala logarítmica de frecuencia y longitud de onda usando c = λf.</t>
  </si>
  <si>
    <t>28. Interacción de la radiación y la materia</t>
  </si>
  <si>
    <t>I1 · Busca información en fuentes oficiales sobre las bandas de frecuencia asignadas en El Salvador a la radio, la televisión y la telefonía.</t>
  </si>
  <si>
    <t>E6 · Explica los usos y los riesgos de cada región del espectro, desde las radiofrecuencias hasta los rayos gamma.</t>
  </si>
  <si>
    <t>Comunicación (Explorar)
 Presenta al grupo, con vocabulario preciso, un ejemplo cotidiano de cada región del espectro electromagnético.</t>
  </si>
  <si>
    <t>Densidad y presión</t>
  </si>
  <si>
    <t>Presión absoluta y manométrica
Presión atmosférica y altitud
Densidad. Densidad relativa
Presión en sólidos y fluidos</t>
  </si>
  <si>
    <t>Conocer: identificar regiones del espectro; describir las propiedades de las ondas electromagnéticas. Aplicar: calcular longitud de onda y frecuencia; medir la atenuación de señales; calcular intensidad y campos de una onda; estimar densidades de potencia. Razonar: interpretar gráficas de campos; evaluar afirmaciones y argumentar con evidencia</t>
  </si>
  <si>
    <t>5.1. Determinación experimental de la densidad y cálculo de la presión hidrostática, absoluta y manométrica a distintas profundidades y altitudes.</t>
  </si>
  <si>
    <t>Espectro electromagnético ilustrado a escala logarítmica con ejemplos, cálculos de λ y f y usos en El Salvador</t>
  </si>
  <si>
    <t>Calcula presiones, fuerzas de flotación, caudales y rapideces en fluidos aplicando los principios de Pascal y de Arquímedes y las ecuaciones de continuidad y de Bernoulli a problemas tecnológicos del entorno.</t>
  </si>
  <si>
    <t>29. Física nuclear: fisión y fusión</t>
  </si>
  <si>
    <t>4.5.  • Ejemplifica los tipos de ondas que se encuentran en el espectro electromagnético.
 • Describe las propiedades de las ondas electromagnéticas a partir de un experimento.
 • Resuelve problemas teóricos a partir de las gráficas de los campos eléctrico y magnético de una onda electromagnética.
 • Argumenta con datos de densidad de potencia y fuentes confiables la validez de afirmaciones sobre radiación no ionizante y salud.</t>
  </si>
  <si>
    <t>Responsabilidad en el uso y la gestión del agua en el hogar, la escuela y la comunidad. Interés por las soluciones tecnológicas de riego y abastecimiento de agua del país.</t>
  </si>
  <si>
    <t>1.1 Navegación, búsqueda y filtrado de información – Básico</t>
  </si>
  <si>
    <t>Buscar y filtrar en el sitio de la SIGET el cuadro de atribución de bandas de frecuencia del país.</t>
  </si>
  <si>
    <t>Uso ético de la información
 Cita el documento oficial de la SIGET como fuente y verifica su fecha de actualización.
 ↳ Se trabaja en la actividad digital (DigComp 1.1).</t>
  </si>
  <si>
    <t>E1 · Recuerda el teorema fundamental de la hidrostática de 9.° y lo aplica a la presión en el fondo del embalse de la presa 5 de Noviembre.</t>
  </si>
  <si>
    <t>E5 · Formula una hipótesis sobre por qué la presión atmosférica de San Salvador es menor que la de La Libertad.</t>
  </si>
  <si>
    <t>Oficial + Nuevo (propuesta)</t>
  </si>
  <si>
    <t>E1 · Aplica P = P₀ + ρgh para calcular la presión absoluta y manométrica a distintas profundidades.</t>
  </si>
  <si>
    <t>I1 · Busca y evalúa datos oficiales de presión atmosférica de estaciones del MARN a distintas altitudes del país.</t>
  </si>
  <si>
    <t>Ciencias del espacio</t>
  </si>
  <si>
    <t>E3 · Predice la presión en el fondo de un pozo de agua de 30 m y justifica si una bomba de superficie puede extraer el agua.</t>
  </si>
  <si>
    <t>Telecomunicaciones</t>
  </si>
  <si>
    <t>Colaboración (Aproximar)
 Reúne con el equipo los datos de altitud de sus municipios para comparar la presión atmosférica esperada.</t>
  </si>
  <si>
    <t>Espectro radioeléctrico
Radiocomunicaciones</t>
  </si>
  <si>
    <t>Conocer: diferenciar presión absoluta y manométrica; definir densidad y densidad relativa; describir la presión como fuerza perpendicular por unidad de área. Aplicar: calcular presiones a distintas profundidades; calcular densidades con incertidumbre; calcular presión y fuerza sobre superficies. Razonar: identificar materiales comparando con valores de referencia</t>
  </si>
  <si>
    <t>4.6. Indagación del funcionamiento de diferentes tecnologías de comunicación inalámbrica para la construcción de un sistema de radiocomunicación funcional que incluya componentes electrónicos. Investigación del desarrollo tecnológico de los sistemas de radiocomunicación.</t>
  </si>
  <si>
    <t>Sistemas</t>
  </si>
  <si>
    <t>Gráfica de presión atmosférica contra altitud con datos del MARN y cálculos de presión en profundidad</t>
  </si>
  <si>
    <t>INDAGACIÓN: Contrastar mediciones de presión, caudal y rapidez de flujo en tuberías, recipientes y modelos con las predicciones de la ecuación de continuidad y de Bernoulli, para explicar el funcionamiento de sistemas de agua, riego y dispositivos aerodinámicos.</t>
  </si>
  <si>
    <t>E6 · Reconoce que el GPS, el wifi, el bluetooth y la telefonía móvil usan ondas de radiofrecuencia en su vida diaria.</t>
  </si>
  <si>
    <t>D1 · Pregunta guía: «¿Por qué el bluetooth solo alcanza unos metros y la radio AM se escucha a cientos de kilómetros?».</t>
  </si>
  <si>
    <t>E2 · Compara en una tabla la frecuencia, el alcance y la velocidad de transmisión de diferentes tecnologías inalámbricas.</t>
  </si>
  <si>
    <t>5.1. • Calcula la presión absoluta y manométrica a distintas profundidades de un líquido considerando la presión atmosférica del lugar.
 • Determina la densidad y la densidad relativa de sólidos y líquidos con su incertidumbre y las compara con valores de referencia.
 • Calcula la fuerza que ejerce un fluido sobre superficies de distinta área y explica que la presión actúa perpendicular a ellas.</t>
  </si>
  <si>
    <t>I1 · Busca información técnica confiable sobre el funcionamiento del GPS y la triangulación con señales de satélites.</t>
  </si>
  <si>
    <t>30. Sistema solar</t>
  </si>
  <si>
    <t>I2 · Distingue la evidencia científica de las opiniones difundidas en redes sobre los supuestos daños de las antenas de telefonía.</t>
  </si>
  <si>
    <t>Los fluidos transmiten presión y ejercen empuje en reposo, y en movimiento conservan la masa y la energía, lo que relaciona la presión, la rapidez y la altura a lo largo de una línea de corriente. Estos principios, corregidos por la viscosidad, permiten diseñar redes de abastecimiento de agua potable, sistemas de riego, turbinas y alas, clave para el desarrollo sostenible del país.</t>
  </si>
  <si>
    <t>Malla oficial 11.° grado, Unidad 1 (3 semanas oficiales)</t>
  </si>
  <si>
    <t>Comunicación (Explicar)
 Explica a sus compañeros con un esquema claro cómo una tecnología inalámbrica transmite información.</t>
  </si>
  <si>
    <t>Conocer: describir tecnologías inalámbricas; identificar hitos históricos. Aplicar: construir un circuito de recepción. Razonar: comparar alcance y frecuencia; evaluar y mejorar un diseño tecnológico; relacionar ciencia, tecnología y sociedad</t>
  </si>
  <si>
    <t>Tabla comparativa de tecnologías inalámbricas con esquema del funcionamiento del GPS</t>
  </si>
  <si>
    <r>
      <rPr>
        <rFont val="Arial"/>
        <color theme="1"/>
        <sz val="9.0"/>
      </rPr>
      <t>1.2 Evaluación de la información – Básico</t>
    </r>
    <r>
      <rPr>
        <rFont val="Arial"/>
        <color rgb="FF7030A0"/>
        <sz val="9.0"/>
      </rPr>
      <t xml:space="preserve">
Con la IA (DigComp 3.0, nivel real): CS1.2.10 – Intermedio: reconoce que la IA puede dar respuestas equivocadas que parecen ciertas y que quien la usa debe verificarlas.</t>
    </r>
  </si>
  <si>
    <t>Unidad oficial; se suma la cosmología del planeador (Big Bang) al tema de sistemas planetarios.</t>
  </si>
  <si>
    <t>4.6. • Explica el funcionamiento básico de diferentes tecnologías de comunicación inalámbrica.
 • Construye un sistema de radiotelecomunicación funcional.
 • Explica los principales hitos en el desarrollo de las tecnologías de radiocomunicación.</t>
  </si>
  <si>
    <t>4.2 Protección de datos personales y privacidad – Básico</t>
  </si>
  <si>
    <t>Revisar qué aplicaciones del teléfono tienen permiso de usar el GPS y el bluetooth y desactivar los innecesarios.</t>
  </si>
  <si>
    <t>Uso ético de la información
 Protege sus datos de ubicación al decidir qué aplicaciones pueden acceder al GPS.
 ↳ Se trabaja en la actividad digital (DigComp 4.2).</t>
  </si>
  <si>
    <r>
      <rPr>
        <rFont val="Arial"/>
        <color theme="1"/>
        <sz val="9.0"/>
      </rPr>
      <t>Evaluar la fiabilidad de los datos de presión atmosférica de una estación oficial frente a un sitio web no oficial.</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Calcula la presión absoluta y manométrica a 10, 50 y 100 m de profundidad en el lago de Coatepeque. Escribe cómo crees que cambia la presión atmosférica entre La Libertad y San Salvador. Pregúntale a la IA «¿Cuál es la presión atmosférica en San Salvador?». Revisa si da el valor a nivel del mar y contrasta con datos del Observatorio de Amenazas del MARN.
Evidencia: Ficha «Yo pienso · La IA dice · Lo comprobé»: tus cálculos con P = P₀ + ρgh; la respuesta rotulada «Respuesta de IA»; el dato oficial y la diferencia explicada por la altitud, con ✔ o ✘ para la IA. Línea en tu registro de uso de IA.
Refuerza con: Observatorio de Amenazas (MARN): pronóstico, calidad del aire, hidrología (https://www.snet.gob.sv) · PhET «Bajo presión» (https://phet.colorado.edu/sims/html/under-pressure/latest/under-pressure_es.html)
→ PISA I1 · TIMSS Razonar</t>
    </r>
  </si>
  <si>
    <t>Uso ético de la información
 Cita la estación y la fecha de los datos del MARN y distingue datos medidos de datos estimados.
 ↳ Se trabaja en la actividad digital (DigComp 1.2).</t>
  </si>
  <si>
    <t>31. Tecnologías para la observación espacial</t>
  </si>
  <si>
    <t>Principios de Pascal y de Arquímedes</t>
  </si>
  <si>
    <t>Principio de Arquímedes
Flotación de embarcaciones
Principio de Pascal
Ventaja mecánica y trabajo
Sistemas hidráulicos</t>
  </si>
  <si>
    <t>5. Óptica e instrumentos</t>
  </si>
  <si>
    <t>5.2. Análisis cuantitativo de sistemas hidráulicos con el principio de Pascal y de la flotación de cuerpos y embarcaciones con el principio de Arquímedes.</t>
  </si>
  <si>
    <t>E6 · Observa las lanchas de pescadores del golfo de Fonseca y se pregunta cuánta carga pueden llevar con seguridad.</t>
  </si>
  <si>
    <t>32. Sistemas planetarios y origen del universo</t>
  </si>
  <si>
    <t>Lentes y ojo humano</t>
  </si>
  <si>
    <t>E5 · Formula una hipótesis sobre por qué un barco de acero flota y cómo cambia su línea de flotación en agua dulce y salada.</t>
  </si>
  <si>
    <t>E1 · Aplica ρ_fluido·V_sumergido·g = mg para calcular la fracción sumergida y la carga máxima de una balsa.</t>
  </si>
  <si>
    <t>Partes ópticas del ojo
Acomodación y punto cercano
Miopía, hipermetropía y presbicia
Lentes convergentes y divergentes
 Distancia focal. Potencia en dioptrías
 Ecuación de las lentes delgadas
 Aumento lateral. Convención de signos</t>
  </si>
  <si>
    <t>D2 · Diseña una balsa de papel aluminio que soporte la mayor cantidad de monedas y compara la carga con la predicha.</t>
  </si>
  <si>
    <t>5.1. Clasificación de lentes, verificación experimental de la ecuación de las lentes delgadas y análisis del ojo humano y de la corrección de la miopía y la hipermetropía.</t>
  </si>
  <si>
    <t>I5 · Justifica una recomendación de carga máxima para una lancha a partir de sus dimensiones y del margen de seguridad.</t>
  </si>
  <si>
    <t>Total 11.° grado (2.° Bachillerato)</t>
  </si>
  <si>
    <t>Colaboración (Explorar)
 Construye con su equipo la balsa distribuyendo el diseño, la medición y el cálculo de la carga predicha.</t>
  </si>
  <si>
    <t>Formaliza con ecuaciones la formación de imágenes en lentes y el ojo humano, y mide longitudes de onda y dimensiones microscópicas a partir de patrones de interferencia y difracción.</t>
  </si>
  <si>
    <t>Conocer: enunciar el principio de Arquímedes. Aplicar: calcular la fracción sumergida y la carga máxima; calcular fuerzas y desplazamientos. Razonar: justificar la conservación del trabajo</t>
  </si>
  <si>
    <t>Balsa construida con cálculo de la carga máxima predicha y comparación con la carga medida</t>
  </si>
  <si>
    <t>5.2.  • Calcula la fracción sumergida de un cuerpo flotante y la carga máxima que puede transportar una embarcación sin hundirse.
 • Calcula la fuerza, el desplazamiento de los émbolos y el trabajo en sistemas hidráulicos, y demuestra que la ventaja mecánica no multiplica la energía.</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</si>
  <si>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</si>
  <si>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t>Autocuidado de la salud visual y respeto por las personas con dificultades de visión. Interés por el funcionamiento de los instrumentos ópticos que amplían nuestra percepción del mundo microscópico y del universo.</t>
  </si>
  <si>
    <r>
      <rPr>
        <rFont val="Arial"/>
        <color theme="1"/>
        <sz val="9.0"/>
      </rPr>
      <t>Reelaborar en una presentación imágenes y datos de embarcaciones artesanales salvadoreñas integrando sus propios cálculos.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Fabrica un barco de papel aluminio y mide sus dimensiones. Calcula tú la carga máxima con el principio de Arquímedes y la fracción sumergida de un trozo de madera. Pídele a la IA el mismo cálculo con tus datos. Carga tu barco con monedas hasta que se hunda y compara las tres cifras. Explica las diferencias.
Evidencia: Ficha «Yo pienso · La IA dice · Lo comprobé»: tus cálculos; el cálculo rotulado «Respuesta de IA»; la carga real con monedas y la explicación de diferencias, con ✔ o ✘ para la IA. Línea en tu registro de uso de IA.
Refuerza con: PhET «Flotabilidad: Intro» (https://phet.colorado.edu/sims/html/buoyancy-basics/latest/buoyancy-basics_es.html)
→ PISA D2 · TIMSS Razonar</t>
    </r>
  </si>
  <si>
    <t>Uso ético de la información
 Reconoce la autoría de las imágenes reelaboradas y respeta las condiciones de uso de cada fuente.
 ↳ Se trabaja en la actividad digital (DigComp 3.2).</t>
  </si>
  <si>
    <t>E6 · Comenta la importancia de los exámenes visuales gratuitos en unidades de salud y centros escolares salvadoreños.</t>
  </si>
  <si>
    <t>E5 · Formula una hipótesis sobre por qué una persona con miopía ve borrosos los objetos lejanos pero nítidos los cercanos.</t>
  </si>
  <si>
    <t>E4 · Modela el ojo como una lente convergente de potencia variable y una pantalla fija para explicar la acomodación.</t>
  </si>
  <si>
    <t>I1 · Busca información confiable sobre la prevalencia de la miopía en adolescentes y su relación con el uso prolongado de pantallas.</t>
  </si>
  <si>
    <t>Continuidad y Bernoulli</t>
  </si>
  <si>
    <t>I5 · Justifica con cálculos la potencia de las lentes correctoras de casos simulados de miopía e hipermetropía.</t>
  </si>
  <si>
    <t>Tubo de Venturi
Sustentación en alas
Sistemas de abastecimiento de agua
Caudal y flujo masico 
Ecuación de continuidad y de Bernoulli
Fluido ideal</t>
  </si>
  <si>
    <t>Comunicación (Reforzar)
 Elabora un mensaje breve para la comunidad escolar sobre el cuidado de la vista basado en la óptica del ojo.</t>
  </si>
  <si>
    <t>5.3. Aplicación de la ecuación de continuidad y de la ecuación de Bernoulli a problemas tecnológicos de tuberías, riego, tubos de Venturi y alas.</t>
  </si>
  <si>
    <t>Conocer: describir la miopía y la hipermetropía; clasificar lentes; recordar la ecuación de las lentes delgadas. Aplicar: calcular potencias correctoras; medir distancias focales y calcular potencias; calcular posiciones y aumentos. Razonar: relacionar defectos visuales con el modelo óptico del ojo</t>
  </si>
  <si>
    <t>Resolución de tres casos de defectos visuales con cálculo de la lente correctora y diagrama de rayos</t>
  </si>
  <si>
    <t>E6 · Analiza por qué en algunas colonias el agua de ANDA no llega a los pisos altos cuando baja la presión de la red.</t>
  </si>
  <si>
    <t>INDAGACIÓN: Contrastar mediciones de distancias focales, posiciones de imágenes y aumentos en montajes de lentes con las predicciones de la óptica geométrica, para explicar el funcionamiento del ojo humano y de los instrumentos ópticos.</t>
  </si>
  <si>
    <t>D1 · Pregunta guía: «¿Cómo medir la rapidez del agua en una tubería usando solo la diferencia de presión en un estrechamiento?».</t>
  </si>
  <si>
    <t>E2 · Representa con diagramas de presión y rapidez un tubo de Venturi y el perfil de un ala de avión.</t>
  </si>
  <si>
    <t>I3 · Argumenta con cálculos de Bernoulli y continuidad qué presión mínima necesita la red para abastecer un edificio de cuatro pisos.</t>
  </si>
  <si>
    <t>I1 · Busca y evalúa información técnica sobre por qué ANDA instala tanques elevados y bombas en ciertas zonas.</t>
  </si>
  <si>
    <t>Colaboración (Reforzar)
 Prepara con su equipo un informe técnico conjunto sobre la presión de agua en su comunidad.</t>
  </si>
  <si>
    <t xml:space="preserve">5.1. • Calcula la potencia de la lente correctora para una persona con miopía o hipermetropía a partir de su punto lejano o cercano.
 • Determina experimentalmente la distancia focal de una lente convergente y expresa su potencia en dioptrías.
 • Calcula la posición y el aumento de la imagen formada por una lente delgada </t>
  </si>
  <si>
    <t>Conocer: enunciar la ecuación de continuidad. Aplicar: resolver problemas con Bernoulli y continuidad; calcular caudales y rapideces en tuberías; calcular presiones en tuberías. Razonar: argumentar soluciones tecnológicas; deducir la ecuación de Bernoulli</t>
  </si>
  <si>
    <t>Informe técnico con cálculo de la presión necesaria para abastecer un edificio y análisis de un tubo de Venturi</t>
  </si>
  <si>
    <t>La refracción de la luz en superficies curvas permite a las lentes formar imágenes cuya posición y tamaño se predicen con la ecuación de las lentes delgadas. La combinación de lentes da lugar a instrumentos como el microscopio y el telescopio, y la comprensión del ojo como sistema óptico permite corregir defectos visuales, lo que mejora la calidad de vida y el acceso al conocimiento científico.</t>
  </si>
  <si>
    <t>5.3. • Resuelve problemas de tubos de Venturi, sustentación de alas y redes de agua potable combinando la ecuación de Bernoulli con la de continuidad.
 • Aplica la ecuación de continuidad para calcular la rapidez del agua en tramos de distinto diámetro de una tubería o un sistema de riego.
 • Deduce la ecuación de Bernoulli a partir del teorema del trabajo y la energía e interpreta cada término como energía por unidad de volumen.</t>
  </si>
  <si>
    <t>4.3 Cuidado del bienestar – Básico</t>
  </si>
  <si>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</si>
  <si>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t>Aplicar la regla de pausas 20-20-20 y ajustar el brillo y la distancia de la pantalla durante las sesiones de trabajo digital.</t>
  </si>
  <si>
    <t>Convivir
 Trata con respeto a compañeros que usan anteojos y promueve un ambiente sin burlas por condiciones visuales.
 ↳ Se trabaja en la actividad digital (DigComp 4.3).</t>
  </si>
  <si>
    <t xml:space="preserve">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 distancia focal es positiva en lentes convergentes y negativa en divergentes, y la distancia de imagen es positiva para imágenes reales. </t>
  </si>
  <si>
    <r>
      <rPr>
        <rFont val="Arial"/>
        <color theme="1"/>
        <sz val="9.0"/>
      </rPr>
      <t>Usar el simulador PhET «Presión del fluido y flujo» para comprobar los cálculos de Venturi antes de redactar el informe.</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Sopla sobre una tira de papel y entre dos latas colocadas sobre pajillas; anota lo que pasa. Pregúntale a la IA «¿Por qué vuelan los aviones?». Revisa si usa la explicación de «tiempos de tránsito iguales», que es incorrecta. Luego calcula con Bernoulli y continuidad la presión en el estrechamiento de un tubo de Venturi y aplica la idea a una tubería de abastecimiento de agua.
Evidencia: Ficha «Yo pienso · La IA dice · Lo comprobé»: lo que observaste; la explicación rotulada «Respuesta de IA» con los errores marcados; tus cálculos del Venturi y la aplicación al abastecimiento, con ✔ o ✘ para la IA. Línea en tu registro de uso de IA.
Refuerza con: ANDA (https://www.anda.gob.sv)
→ PISA I3 · TIMSS Razonar</t>
    </r>
  </si>
  <si>
    <t>Respeto al medio ambiente, entorno y territorio
 Relaciona la presión en las redes de agua con las fugas y el desperdicio de agua en su municipio.</t>
  </si>
  <si>
    <t>U6 - Aplicar temas · AplicarAplicar h - Eje integrador: energía</t>
  </si>
  <si>
    <t>Interferencia y difracción de la luz</t>
  </si>
  <si>
    <t>Experimento de Young. Franjas brillantes y oscuras
Diferencia de camino óptico
Principio de Huygens
Difracción de una rendija. Mínimos de difracción. Red de difracción
Espectroscopia
Discos CD y DVD</t>
  </si>
  <si>
    <t>6. Temperatura, calor y termodinámica</t>
  </si>
  <si>
    <t>5.2. Medición de la longitud de onda de un láser con doble rendija y de dimensiones microscópicas a partir de patrones de difracción y de redes como CD y DVD.</t>
  </si>
  <si>
    <t>Temperatura y dilatación</t>
  </si>
  <si>
    <t>E1 · Recuerda la interferencia constructiva y destructiva de ondas estudiada en la unidad de superposición de este año.</t>
  </si>
  <si>
    <t>Dilatación lineal y volumétrica
Escalas Celsius y Fahrenheit
Escala Kelvin. Cero absoluto, Termómetro de gas a volumen constante</t>
  </si>
  <si>
    <t>D1 · Pregunta guía: «¿Cómo se puede medir la longitud de onda de la luz, invisible a simple vista, con una regla y dos rendijas?».</t>
  </si>
  <si>
    <t>6.1. Conversión entre escalas de temperatura, estimación del cero absoluto y cálculo de la dilatación térmica de sólidos y líquidos, incluido el comportamiento anómalo del agua.</t>
  </si>
  <si>
    <t>E2 · Relaciona la diferencia de camino d·sen θ con el orden de las franjas y la aproximación y = mλL/d para ángulos pequeños.</t>
  </si>
  <si>
    <t>Explica y cuantifica la dilatación, el calor, su transferencia y el comportamiento del gas ideal, y aplica la primera y la segunda ley de la termodinámica para evaluar la eficiencia de máquinas térmicas y refrigeradores.</t>
  </si>
  <si>
    <t>D4 · Mide la separación entre franjas producidas por un puntero láser de baja potencia y concluye su longitud de onda con su incertidumbre.</t>
  </si>
  <si>
    <t>D3 · Evalúa cómo cambian la precisión y la incertidumbre del resultado si se aumenta la distancia L entre rendija y pantalla.</t>
  </si>
  <si>
    <t>Pensamiento crítico (Indagar)
 Justifica si la longitud de onda obtenida concuerda con la indicada por el fabricante considerando la incertidumbre de las medidas.</t>
  </si>
  <si>
    <t>Rigor en la medición de temperaturas y en el tratamiento cuantitativo de datos calorimétricos. Valoración del conocimiento térmico para el diseño seguro de estructuras y para la interpretación responsable de la información climática.</t>
  </si>
  <si>
    <t>Aplicar: medir y calcular longitudes de onda; calcular dimensiones a partir de patrones; calcular separaciones de líneas. Razonar: evaluar incertidumbres y concluir; diseñar y justificar el procedimiento; relacionar la separación con la capacidad de almacenamiento</t>
  </si>
  <si>
    <t>Informe de laboratorio con fotografía del patrón, tabla de posiciones de franjas y cálculo de λ con su incertidumbre</t>
  </si>
  <si>
    <t>E6 · Observa fotografías de juntas de dilatación en el puente Cuscatlán sobre el río Lempa y en los rieles del antiguo ferrocarril.</t>
  </si>
  <si>
    <t>5.2.  • Calcula la longitud de onda de la luz a partir de la separación entre franjas de un patrón de doble rendija
 • Calcula el ancho de una rendija o el grosor de un cabello a partir de la posición de los mínimos
 • Calcula la separación entre líneas de una red o entre pistas de un disco óptico a partir de los ángulos de los máximos</t>
  </si>
  <si>
    <t>E5 · Formula una hipótesis sobre por qué los cables de las líneas de transmisión eléctrica cuelgan más al mediodía que en la madrugada.</t>
  </si>
  <si>
    <t>E1 · Aplica ΔL = αL₀ΔT para calcular cuánto se alarga una viga de acero de 30 m entre la noche y el mediodía en la zona costera.</t>
  </si>
  <si>
    <t>D2 · Propone un montaje con una varilla metálica, agua caliente manejada por la docente y un indicador de aguja para medir su alargamiento.</t>
  </si>
  <si>
    <t>Resolver los problemas de enfoque y exposición de la cámara del teléfono para fotografiar el patrón sin saturación.</t>
  </si>
  <si>
    <t>E3 · Predice qué material conviene para una junta entre acero y concreto comparando sus coeficientes de dilatación.</t>
  </si>
  <si>
    <t>Convivir
 Cumple y hace cumplir en el equipo la norma de no apuntar nunca el puntero láser hacia los ojos de ninguna persona.</t>
  </si>
  <si>
    <t>Creatividad (Indagar)
 Diseña un indicador mecánico amplificador de aguja que haga visible el alargamiento de una varilla calentada.</t>
  </si>
  <si>
    <t>Conocer: recordar los puntos fijos de las escalas de temperatura; describir el comportamiento anómalo del agua. Aplicar: calcular variaciones de longitud; deducir y usar las relaciones de conversión; graficar y ajustar una recta; construir gráficas volumen-temperatura. Razonar: justificar decisiones de diseño estructural; interpretar una extrapolación y su incertidumbre; explicar sus consecuencias en lagos</t>
  </si>
  <si>
    <t>Informe del montaje con medición del alargamiento, cálculo de α experimental y comparación con el valor de tabla</t>
  </si>
  <si>
    <t>INDAGACIÓN: Contrastar mediciones experimentales de temperatura, dilatación y calorimetría con los modelos de calor específico, calor latente y equilibrio de fases, para predecir el comportamiento térmico de materiales y del aire húmedo en situaciones reales.</t>
  </si>
  <si>
    <t>6.1. • Calcula la dilatación lineal de elementos estructurales y justifica la necesidad de juntas de dilatación en construcciones.
 • Deduce y aplica las relaciones lineales de conversión entre las escalas Celsius, Fahrenheit y Kelvin.
 • Estima el cero absoluto por extrapolación de una gráfica presión-temperatura y explica su significado físico.
 • Relaciona gráficamente el volumen con la temperatura y explica el comportamiento anómalo del agua y sus consecuencias en lagos.</t>
  </si>
  <si>
    <t>La temperatura es una medida de la agitación de las partículas y el calor es energía que se transfiere por una diferencia de temperatura. Cuantificar el calor específico, el calor latente y la dilatación permite diseñar estructuras seguras, procesar alimentos y cultivos y comprender el clima, lo que tiene un valor directo para la vida cotidiana y la economía del país.</t>
  </si>
  <si>
    <t>6. Física moderna: cuántica, relatividad y núcleo</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</si>
  <si>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</si>
  <si>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Naturaleza cuántica de la luz y la materia</t>
  </si>
  <si>
    <t>Fotones. Efecto fotoeléctrico
Función trabajo y frecuencia umbral
Modelo corpuscular de Newton vs modelo ondulatorio de Huygens
Dualidad onda-partícula
Radiación del cuerpo negro
Ley de desplazamiento de Wien
Constante de Planck
Longitud de onda de De Broglie
Difracción de electrones. Microscopio electrónico</t>
  </si>
  <si>
    <t>6.1. Análisis de la dualidad onda-partícula a partir de la radiación del cuerpo negro, el efecto fotoeléctrico y la longitud de onda de De Broglie.</t>
  </si>
  <si>
    <r>
      <rPr>
        <rFont val="Arial"/>
        <color theme="1"/>
        <sz val="9.0"/>
      </rPr>
      <t>Buscar y filtrar tablas de coeficientes de dilatación en fuentes académicas o técnicas, anotando la referencia de cada valor.</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Llena una botella plástica con agua hasta el borde, márcala, ciérrala y métela al congelador; obsérvala al día siguiente. Grafica volumen-temperatura para el agua entre 0 °C y 10 °C con datos de una tabla de fuente confiable. Pregúntale al cuaderno NotebookLM «¿Por qué el agua es más densa a 4 °C y qué consecuencia tiene para los lagos?». Relaciónalo con tu botella.
Evidencia: Ficha «Yo pienso · La IA dice · Lo comprobé»: tu observación y tu gráfica V-T; la explicación rotulada «Respuesta de IA»; la relación con tu botella y con un lago, con ✔ o ✘ para la IA. Línea en tu registro de uso de IA.
→ PISA E3 · TIMSS Aplicar</t>
    </r>
  </si>
  <si>
    <t>Explica fenómenos que la física clásica no describe mediante la cuantización, la relatividad especial y los modelos del núcleo, y evalúa con evidencia los usos y riesgos de la radiación ionizante y de la energía nuclear.</t>
  </si>
  <si>
    <t>Uso ético de la información
 Cita la tabla de coeficientes consultada con autor, sitio y fecha de consulta en su informe.
 ↳ Se trabaja en la actividad digital (DigComp 1.1).</t>
  </si>
  <si>
    <t>Valoración del carácter histórico y colectivo de la construcción del conocimiento científico sobre la luz. Interés por las tecnologías basadas en la física cuántica, como las celdas solares y los sensores de imagen.</t>
  </si>
  <si>
    <t>Calor y calorimetría</t>
  </si>
  <si>
    <t>Calor latente de fusión y de vaporización
Calorimetría con cambio de fase
Energía interna
Calor como energía en tránsito
Equivalente mecánico del calor
Calor específico y capacidad calorífica</t>
  </si>
  <si>
    <t>6.2. Análisis del calor como energía transferida y resolución de problemas de calorimetría con cambios de temperatura y de fase.</t>
  </si>
  <si>
    <t>E6 · Analiza el secado del café en los patios de los beneficios y la cantidad de agua que el sol debe evaporar de cada quintal.</t>
  </si>
  <si>
    <t>E3 · Predice si un cubo de hielo a −10 °C se funde por completo al colocarlo en un vaso con 200 g de agua a 25 °C.</t>
  </si>
  <si>
    <t>E2 · Transforma la curva de calentamiento en un diagrama de barras de energía por tramos: calentamiento, fusión y vaporización.</t>
  </si>
  <si>
    <t>D4 · Compara la temperatura final medida en una mezcla de hielo y agua con la calculada y explica la diferencia.</t>
  </si>
  <si>
    <t>I5 · Justifica con cálculos por qué el secado solar del café ahorra energía frente al secado con combustibles.</t>
  </si>
  <si>
    <t>Creatividad (Explicar)
 Crea un diagrama de barras de energía original que represente cada etapa del calentamiento del hielo hasta vapor.</t>
  </si>
  <si>
    <t>Conocer: diferenciar calor y energía interna. Aplicar: calcular calor en cambios de fase; plantear y resolver balances de energía. Razonar: decidir qué fases coexisten al final de una mezcla; explicar transferencias con un modelo; identificar un material por su calor específico</t>
  </si>
  <si>
    <t>E6 · Identifica celdas fotovoltaicas en techos, alumbrado público y plantas solares del país como aplicaciones de la interacción luz-materia.</t>
  </si>
  <si>
    <t>Problemario resuelto con tres mezclas con cambio de fase y diagrama energético de la curva de calentamiento</t>
  </si>
  <si>
    <t>E3 · Predice si aumentar la intensidad de una luz roja logrará arrancar electrones de un metal y justifica con el modelo de fotones.</t>
  </si>
  <si>
    <t>E1 · Aplica la ecuación de Einstein Kmáx = hf − W₀ para calcular energías, potenciales de frenado y frecuencias umbral de varios metales.</t>
  </si>
  <si>
    <t>6.2. • Calcula la temperatura final de mezclas que incluyen cambios de fase y la energía necesaria para evaporar agua en procesos productivos.
 • Distingue entre calor, temperatura y energía interna al explicar transferencias de energía entre cuerpos.
 • Determina el calor específico de un sólido mediante el método de mezclas y evalúa la pérdida de calor al entorno.</t>
  </si>
  <si>
    <t>D4 · Interpreta la gráfica del potencial de frenado contra la frecuencia obtenida en un simulador y deduce h y W₀ de la pendiente y el intercepto.</t>
  </si>
  <si>
    <t>I5 · Justifica la orientación e inclinación más conveniente de un panel solar en El Salvador con base en la energía de los fotones incidentes.</t>
  </si>
  <si>
    <t>Creatividad (Indagar)
 Diseña una variante del experimento simulado que permita identificar un metal desconocido a partir de su frecuencia umbral.</t>
  </si>
  <si>
    <r>
      <rPr>
        <rFont val="Arial"/>
        <color theme="1"/>
        <sz val="9.0"/>
      </rPr>
      <t>3.2 Integración y reelaboración de contenidos digitales – Básico</t>
    </r>
    <r>
      <rPr>
        <rFont val="Arial"/>
        <color rgb="FF7030A0"/>
        <sz val="9.0"/>
      </rPr>
      <t xml:space="preserve">
Con la IA (DigComp 3.0, nivel real): CS1.2.13 – Intermedio: valora qué tan confiable es una fuente, teniendo en cuenta el papel de la IA.</t>
    </r>
  </si>
  <si>
    <t>Conocer: definir función trabajo y frecuencia umbral; identificar modelos; describir la hipótesis de Planck. Aplicar: calcular energías cinéticas y frecuencias umbral; calcular longitudes de onda máximas y energías de los cuantos; calcular longitudes de onda. Razonar: relacionar fenómenos con modelos y justificar la dualidad; comparar escalas y justificar la observabilidad</t>
  </si>
  <si>
    <t>Informe con la gráfica potencial de frenado contra frecuencia, cálculo de h y W₀ e identificación del metal</t>
  </si>
  <si>
    <t>INDAGACIÓN: Contrastar resultados experimentales históricos y simulados sobre la emisión y absorción de luz con los modelos ondulatorio y corpuscular, para justificar la necesidad de la cuantización de la energía y la dualidad onda-partícula.</t>
  </si>
  <si>
    <r>
      <rPr>
        <rFont val="Arial"/>
        <color theme="1"/>
        <sz val="9.0"/>
      </rPr>
      <t>Reelaborar una curva de calentamiento con datos propios, agregando anotaciones digitales del calor absorbido en cada tramo.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Mide la temperatura de arena seca en un frasco de plástico cerrado, agítalo con fuerza 5 minutos y vuelve a medirla. Calcula la energía mecánica aproximada que aportaste. Antes, escribe si crees que la temperatura subirá. Pregúntale al cuaderno NotebookLM «¿Qué demostró el experimento de Joule sobre el calor?». Compara su montaje con el tuyo.
Evidencia: Ficha «Yo pienso · La IA dice · Lo comprobé»: tu predicción y tus temperaturas; la explicación rotulada «Respuesta de IA»; la comparación entre tu experimento y el de Joule, con ✔ o ✘ para la IA. Línea en tu registro de uso de IA.
→ PISA D4 · TIMSS Razonar</t>
    </r>
  </si>
  <si>
    <t>Uso ético de la información
 Señala qué partes de la gráfica son datos propios y cuáles adapta de una fuente, citándola.
 ↳ Se trabaja en la actividad digital (DigComp 3.2).</t>
  </si>
  <si>
    <t>6.1. • Calcula la energía cinética máxima de los fotoelectrones y la frecuencia umbral de un metal 
 • Explica qué fenómenos de la luz favorecen el modelo ondulatorio y cuáles el corpuscular, y por qué ambos son necesarios.
 • Aplica la ley de Wien y la relación de energia para estimar la temperatura de un emisor y la energía de sus cuantos de radiación.
 • Calcula la longitud de onda de De Broglie de electrones y objetos cotidianos y explica por qué solo en las partículas se observan efectos ondulatorios.</t>
  </si>
  <si>
    <t>Transferencia de calor</t>
  </si>
  <si>
    <t>Aislamiento térmico
Cocinas y secadores solares. Conservación de alimentos
Convección natural y forzada. Brisas y corrientes
Conducción. Conductividad térmica. Ley de Fourier
Radiación térmica. Ley de Stefan-Boltzmann y de desplazamiento de Wien</t>
  </si>
  <si>
    <t>La luz se propaga con una rapidez finita y constante en el vacío, y su energía se intercambia en paquetes discretos llamados fotones, cuya energía es proporcional a la frecuencia. La materia también presenta comportamiento ondulatorio, y el principio de incertidumbre fija límites a la precisión con que se conocen posición y momento. Estas ideas fundamentan tecnologías como las celdas fotovoltaicas, los sensores de las cámaras digitales y el microscopio electrónico.</t>
  </si>
  <si>
    <t>6.3. Cálculo y control de la transferencia de calor por conducción, convección y radiación en el diseño y la evaluación de un dispositivo.</t>
  </si>
  <si>
    <t>E6 · Reconoce que muchas familias rurales cocinan con leña y que las cocinas solares pueden reducir la deforestación y el humo en el hogar.</t>
  </si>
  <si>
    <t>E5 · Formula una hipótesis sobre qué combinación de materiales mantiene frío por más tiempo el contenido de una hielera artesanal.</t>
  </si>
  <si>
    <t>Estimar la energía que genera un panel solar escolar y proponer la disposición responsable de paneles y baterías al final de su vida útil.</t>
  </si>
  <si>
    <t>E4 · Usa un modelo de resistencias térmicas en serie para estimar el flujo de calor a través de una pared de varias capas.</t>
  </si>
  <si>
    <t>I1 · Busca y evalúa diseños de cocinas y secadores solares documentados por instituciones y selecciona el más viable con materiales locales.</t>
  </si>
  <si>
    <t>Respeto al medio ambiente, entorno y territorio
 Valora la energía solar fotovoltaica como alternativa limpia y considera el manejo adecuado de sus residuos electrónicos.
 ↳ Se trabaja en la actividad digital (DigComp 4.4).</t>
  </si>
  <si>
    <t>I5 · Justifica con mediciones y cálculos por qué su prototipo reduce las pérdidas de calor frente a un diseño sin aislamiento.</t>
  </si>
  <si>
    <t>Colaboración (Indagar)
 Construye en equipo el prototipo acordando tareas de diseño, construcción, medición y análisis.</t>
  </si>
  <si>
    <t xml:space="preserve">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el electronvoltio (eV) se admite como unidad de energía de uso aceptado junto al SI (1 eV = 1.602 × 10⁻¹⁹ J). </t>
  </si>
  <si>
    <t>Conocer: describir la convección; definir la conductividad térmica; enunciar las leyes de Stefan-Boltzmann y de Wien. Aplicar: modelar pérdidas de calor; calcular flujos de calor y clasificar materiales; calcular la potencia radiada y la longitud de onda de máxima emisión. Razonar: justificar decisiones de diseño con datos; explicar fenómenos atmosféricos y domésticos</t>
  </si>
  <si>
    <t>Prototipo de hielera o cocina solar con curva de temperatura y cálculo del flujo de calor estimado</t>
  </si>
  <si>
    <t>6.3.  • Diseña un dispositivo de aislamiento o de captación solar y explica cuantitativamente cómo controla la conducción, la convección y la radiación.
 • Explica corrientes de convección en la atmósfera, el mar y la vivienda relacionando temperatura, volumen y densidad del fluido.
 • Calcula el flujo de calor por conducción a través de materiales de construcción y los clasifica según su conductividad térmica.
 • Aplica la ley de Stefan-Boltzmann para calcular la potencia radiada por un cuerpo y relaciona su temperatura con la longitud de onda de máxima emisión.</t>
  </si>
  <si>
    <t>Teoría de la relatividad especial</t>
  </si>
  <si>
    <r>
      <rPr>
        <rFont val="Arial"/>
        <color theme="1"/>
        <sz val="9.0"/>
      </rPr>
      <t>5.4 Identificación y atención de necesidades de competencia digital – Básico</t>
    </r>
    <r>
      <rPr>
        <rFont val="Arial"/>
        <color rgb="FF7030A0"/>
        <sz val="9.0"/>
      </rPr>
      <t xml:space="preserve">
Con la IA (DigComp 3.0, nivel real): CS3.1.08 – Intermedio: describe ventajas y límites de usar IA para crear contenidos.</t>
    </r>
  </si>
  <si>
    <t>Tiempo propio. Factor de Lorentz. Dilatación del tiempo
 Postulado de la relatividad. Invariancia de la rapidez de la luz
 Límites de la relatividad galileana
 Métrica del espacio Euclidiano vs métrica del espacio de Minkowski
 Consecuencias en el tiempo y en el espacio</t>
  </si>
  <si>
    <t>6.2. Cálculo del intervalo de tiempo dilatado mediante el factor de Lorentz en relojes que se mueven a gran rapidez. Análisis de los dos postulados de Einstein y de su contradicción con la suma galileana de velocidades aplicada a la luz. Reconocimiento de las métricas del espacio relativista y no relativista, y sus invarianzas. Interpretación de los marcos de referencia inerciales para eventos simultáneos. Cálculo de la longitud de objetos que se mueven a una rapidez cercana a la de la luz.</t>
  </si>
  <si>
    <r>
      <rPr>
        <rFont val="Arial"/>
        <color theme="1"/>
        <sz val="9.0"/>
      </rPr>
      <t>Identificar qué habilidades digitales le faltan al equipo para analizar sus datos y seguir un tutorial para usar la herramienta necesaria.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Diseña y construye un secador solar o una hielera casera con cartón, papel aluminio y plástico. Escribe qué parte controla la conducción, la convección y la radiación. Mide la temperatura dentro y fuera durante 1 hora. Después pídele a la IA «Sugiere tres mejoras para este diseño y explica qué mecanismo de transferencia controla cada una». Prueba una mejora y mide de nuevo.
Evidencia: Informe con declaración de uso de IA («Así usé la IA: … · Lo que revisé yo: …»); en la ficha, tu diseño con los tres mecanismos, las sugerencias rotuladas «Respuesta de IA» y las mediciones antes y después de la mejora, con ✔ o ✘. Línea en tu registro de uso de IA.
→ PISA I1 · TIMSS Razonar</t>
    </r>
  </si>
  <si>
    <t>Respeto al medio ambiente, entorno y territorio
 Prioriza materiales reutilizados y evalúa el efecto de su prototipo en la reducción del uso de leña.</t>
  </si>
  <si>
    <t>E1 · Recuerda que los satélites de navegación que usan los teléfonos en San Salvador llevan relojes atómicos que deben corregirse.</t>
  </si>
  <si>
    <t>E3 · Predice, con la física clásica, si un muón de vida media 2.2 μs creado a 10 km de altura alcanzaría la cima del volcán de San Salvador.</t>
  </si>
  <si>
    <t>Gas ideal y teoría cinética</t>
  </si>
  <si>
    <t>E2 · Deduce la expresión Δt = γΔt₀ con el reloj de luz y representa en una gráfica cómo crece γ cuando v se acerca a c.</t>
  </si>
  <si>
    <t>Variables de estado
Ecuación de estado del gas ideal
Constante de Boltzmann y constante universal del gas ideal
Isotermas en el diagrama p-V
Energía cinética media y temperatura
Rapidez cuadrática media
Origen microscópico de la presión</t>
  </si>
  <si>
    <t>D4 · Interpreta datos publicados del flujo de muones al nivel del mar y concluye que solo la dilatación del tiempo explica su llegada.</t>
  </si>
  <si>
    <t>6.4. Aplicación de la ecuación de estado del gas ideal y relación de la energía cinética media de las moléculas con la temperatura absoluta.</t>
  </si>
  <si>
    <t>I5 · Justifica con cálculos por qué un astronauta que viaja a 0.8c envejece menos que su gemelo que se queda en la Tierra.</t>
  </si>
  <si>
    <t>Pensamiento crítico (Indagar)
 Evalúa si los datos de muones son suficientes para descartar la explicación clásica y señala qué supuestos se asumen.</t>
  </si>
  <si>
    <t>E1 · Recuerda las leyes de los gases trabajadas en 9.° y observa cómo cambia la presión de una llanta de bicicleta entre la mañana y la tarde.</t>
  </si>
  <si>
    <t>Conocer: definir tiempo propio y factor de Lorentz; enunciar los postulados; identificar métricas y sus invariancias. Aplicar: calcular intervalos de tiempo dilatados; calcular intervalos; calcular longitudes contraídas. Razonar: justificar la ruptura con la mecánica clásica; interpretar la relatividad de la simultaneidad con diagramas; relacionar contracción y dilatación</t>
  </si>
  <si>
    <t>D1 · Pregunta guía: «¿Cuántas moléculas de aire hay en el aula y cómo se relaciona ese número con la presión que ejercen?».</t>
  </si>
  <si>
    <t>Hoja de problemas resueltos con la gráfica de γ en función de v/c y el análisis del caso de los muones</t>
  </si>
  <si>
    <t>E2 · Transforma pV = nRT en pV = NkT, relaciona k con R y representa varias isotermas en un diagrama presión-volumen.</t>
  </si>
  <si>
    <t>D4 · Mide pares presión-volumen con una jeringa sellada y un manómetro, grafica p contra 1/V y obtiene NkT de la pendiente.</t>
  </si>
  <si>
    <t>D3 · Evalúa por qué conviene usar presión absoluta y no manométrica y cómo afectan las fugas de aire a sus resultados.</t>
  </si>
  <si>
    <t>Pensamiento crítico (Explicar)
 Justifica por qué la presión atmosférica menor en ciudades altas cambia la lectura manométrica de una misma llanta.</t>
  </si>
  <si>
    <t>6.2. • Calcula el intervalo de tiempo dilatado a partir del tiempo propio y la rapidez relativa, y lo aplica a muones atmosféricos y viajes espaciales.
 • Explica por qué la invariancia de la rapidez de la luz obliga a abandonar el tiempo absoluto de la mecánica clásica.
 • Identifica las métricas del espacio relativista y no relativista, y sus invarianzas.
 • Interpreta los marcos de referencia inerciales para eventos simultáneos.
 • Calcula la longitud de objetos que se mueven a una rapidez cercana a la de la luz.</t>
  </si>
  <si>
    <t>Conocer: recordar la ecuación de estado del gas ideal. Aplicar: resolver problemas con pV = NkT e interpretar isotermas; calcular energía cinética media y v_rms. Razonar: vincular lo microscópico con lo macroscópico</t>
  </si>
  <si>
    <t>Gráfica p contra 1/V con ajuste lineal, cálculo del número de moléculas y discusión de errores</t>
  </si>
  <si>
    <t>Programar en Python o en hoja de cálculo un algoritmo que calcule γ y Δt para una lista de rapideces y detecte cuándo v ≥ c.</t>
  </si>
  <si>
    <t>6.4. • Resuelve problemas con la ecuación pV = NkT e interpreta isotermas en el diagrama presión-volumen.
 • Calcula la energía cinética media y la rapidez cuadrática media de las moléculas de un gas a partir de su temperatura.</t>
  </si>
  <si>
    <t>Convivir
 Revisa el código de otro equipo con comentarios respetuosos y acuerda correcciones antes de presentar la gráfica.
 ↳ Se trabaja en la actividad digital (DigComp 3.4).</t>
  </si>
  <si>
    <t>Nuevo (planeador) + Oficial</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</si>
  <si>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</si>
  <si>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Núcleo atómico y energía de enlace</t>
  </si>
  <si>
    <t>Defecto de masa
 Energía de enlace. Energía de enlace por nucleón
 Nucleones y núclidos. Isótopos
 Radio y densidad nuclear
 Fuerza nuclear fuerte
 Alcance de la interacción
 Banda de estabilidad. Energía en reposo. Energía total y energía cinética
 Relación energía-momento</t>
  </si>
  <si>
    <t>6.3. Cálculo del radio y la densidad nuclear, análisis de la estabilidad del núcleo y cálculo del defecto de masa y la energía de enlace con E = mc².</t>
  </si>
  <si>
    <r>
      <rPr>
        <rFont val="Arial"/>
        <color theme="1"/>
        <sz val="9.0"/>
      </rPr>
      <t>Revisar los permisos que solicita la aplicación de sensores del teléfono antes de usar su barómetro y desactivar los innecesarios.</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Deduce tú la relación entre la energía cinética media de las moléculas y la temperatura absoluta, partiendo de los choques de una molécula con la pared de una caja. Calcula la rapidez cuadrática media del oxígeno a 25 °C y a 35 °C. Pregúntale al cuaderno NotebookLM «¿Cuál es el origen microscópico de la presión de un gas?». Comprueba en el simulador cómo cambian la rapidez y la presión con la temperatura.
Evidencia: Ficha «Yo pienso · La IA dice · Lo comprobé»: tu deducción y tus cálculos de v_rms; la explicación rotulada «Respuesta de IA»; lo observado en el simulador, con ✔ o ✘ para la IA. Línea en tu registro de uso de IA.
Refuerza con: PhET «Propiedades de los gases» (https://phet.colorado.edu/sims/html/gas-properties/latest/gas-properties_es.html)
→ PISA E2 · TIMSS Aplicar</t>
    </r>
  </si>
  <si>
    <t>Uso ético de la información
 Protege su privacidad al usar aplicaciones de sensores, sin compartir ubicación ni datos personales con terceros.
 ↳ Se trabaja en la actividad digital (DigComp 4.2).</t>
  </si>
  <si>
    <t>E6 · Reflexiona sobre cómo la pequeña diferencia de masa en los núcleos explica la energía que el Sol entrega a los cultivos salvadoreños.</t>
  </si>
  <si>
    <t>E3 · Predice si la masa de un núcleo de helio-4 es mayor, igual o menor que la suma de las masas de sus dos protones y dos neutrones.</t>
  </si>
  <si>
    <t>Primera ley de la termodinámica</t>
  </si>
  <si>
    <t>E1 · Aplica Δm = Zm_p + Nm_n − m_núcleo y E_B = Δmc² para calcular la energía de enlace de varios núcleos en MeV.</t>
  </si>
  <si>
    <t>Variación de la energia interna
Energía interna como función de estado
Sistema, frontera y entorno
Sistemas abierto, cerrado y aislado
Procesos isobárico, isocórico, isotérmico y adiabático
Trabajo como área en el diagrama p-V</t>
  </si>
  <si>
    <t>D4 · Construye e interpreta la curva de energía de enlace por nucleón y concluye por qué el hierro-56 está entre los núcleos más estables.</t>
  </si>
  <si>
    <t>6.5. Aplicación de la primera ley a sistemas termodinámicos reales y cálculo del trabajo y del cambio de energía interna en procesos representados en diagramas p-V.</t>
  </si>
  <si>
    <t>E3 · Predice con la curva qué procesos liberan energía en núcleos ligeros y pesados, y justifica la predicción sin detallar reactores.</t>
  </si>
  <si>
    <t>Creatividad (Reforzar)
 Elabora una representación original de la curva de energía de enlace, como una analogía de montaña, para explicarla a estudiantes de 9.°.</t>
  </si>
  <si>
    <t>E1 · Recuerda los problemas de primera ley de 9.° y analiza cómo se calienta el aire al inflar con rapidez una llanta con bomba manual.</t>
  </si>
  <si>
    <t>Conocer: definir defecto de masa y energía de enlace; describir la fuerza nuclear fuerte; recordar la equivalencia masa-energía. Aplicar: calcular energías de enlace e interpretar la curva; calcular radio y densidad nuclear; calcular energías relativistas y momento. Razonar: generalizar una tendencia; explicar la estabilidad nuclear con el balance de fuerzas</t>
  </si>
  <si>
    <t>E3 · Predice si la energía interna de un gas aumenta o disminuye cuando absorbe 500 J de calor y realiza 700 J de trabajo.</t>
  </si>
  <si>
    <t>Curva de energía de enlace por nucleón construida con datos reales y cálculos de cinco núcleos</t>
  </si>
  <si>
    <t>E4 · Explica con el modelo de función de estado por qué ΔU no depende del camino, mientras que Q y W sí dependen de él.</t>
  </si>
  <si>
    <t>D4 · Compara en una tabla dos caminos distintos entre los mismos estados inicial y final, calculando Q, W y ΔU en cada uno.</t>
  </si>
  <si>
    <t>E3 · Justifica con la primera ley por qué el aire que sale de una válvula de llanta se siente frío.</t>
  </si>
  <si>
    <t>6.3.  • Calcula la energía de enlace por nucleón a partir del defecto de masa e interpreta la curva para identificar los núcleos más estables.
 • Calcula el radio y la densidad de distintos núcleos y explica por qué la densidad nuclear es prácticamente constante.
 • Explica la estabilidad de un núcleo a partir del balance entre la fuerza nuclear fuerte de corto alcance y la repulsión electrostática entre protones.
 • Calcula la energía en reposo, la energía cinética relativista y el momento de una partícula a partir de su masa y su rapidez.</t>
  </si>
  <si>
    <t>Creatividad (Explicar)
 Inventa una analogía original que ilustre por qué la energía interna es función de estado y el calor no lo es.</t>
  </si>
  <si>
    <t>Conocer: enunciar la primera ley y su convención de signos; clasificar sistemas; reconocer procesos isobáricos e isocóricos en el diagrama p-V. Aplicar: calcular ΔU, Q y W; identificar variables de estado y flujos; calcular el trabajo como área bajo la curva; usar expresiones logarítmicas y potenciales. Razonar: validar un método numérico</t>
  </si>
  <si>
    <t>Organizar en una hoja de cálculo las masas atómicas de veinte núcleos, calcular E_B/A con fórmulas y graficar la curva.</t>
  </si>
  <si>
    <t>Tabla comparativa de dos trayectorias con cálculos de Q, W y ΔU y conclusión escrita</t>
  </si>
  <si>
    <t>Respeto al medio ambiente, entorno y territorio
 Explica que la energía solar que sostiene los ecosistemas y los cultivos procede de la conversión de masa en energía en el Sol.</t>
  </si>
  <si>
    <t>6.5. • Determina el cambio de energía interna de un sistema en procesos donde intervienen simultáneamente calor y trabajo con la convención de signos adecuada.
 • Caracteriza sistemas termodinámicos reales según su intercambio de materia y energía y sus variables de estado.
 • Calcula el trabajo realizado en procesos isobáricos e isocóricos como área bajo la curva y reconoce cada proceso en el diagrama p-V.
 • Calcula el trabajo de expansiones isotérmicas y adiabáticas de un gas ideal y compara sus curvas en el diagrama p-V.</t>
  </si>
  <si>
    <t>Desintegración radiactiva</t>
  </si>
  <si>
    <r>
      <rPr>
        <rFont val="Arial"/>
        <color theme="1"/>
        <sz val="9.0"/>
      </rPr>
      <t>2.6 Gestión de la identidad digital – Básico</t>
    </r>
    <r>
      <rPr>
        <rFont val="Arial"/>
        <color rgb="FF7030A0"/>
        <sz val="9.0"/>
      </rPr>
      <t xml:space="preserve">
Con la IA (DigComp 3.0, nivel real): CS1.2.10 – Intermedio: reconoce que la IA puede dar respuestas equivocadas que parecen ciertas y que quien la usa debe verificarlas.</t>
    </r>
  </si>
  <si>
    <t>Constante de desintegración
 Vida media
 Actividad
 Desintegración alfa
 Desintegración beta menos y beta más
 Emisión gamma
 Datación por radiocarbono
 Datación potasio-argón
 Incertidumbre de la datación</t>
  </si>
  <si>
    <t>6.4. Escritura de ecuaciones de desintegración, modelación de la ley de desintegración con simulaciones y cálculo de la edad de muestras con datos publicados.</t>
  </si>
  <si>
    <r>
      <rPr>
        <rFont val="Arial"/>
        <color theme="1"/>
        <sz val="9.0"/>
      </rPr>
      <t>Publicar su analogía en el aula virtual con un perfil identificable y cuidando la información personal que muestra.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Tapa la salida de una bomba de bicicleta y comprime rápido varias veces; toca el cilindro y anota qué pasa. Escribe tú la primera ley e identifica los signos de Q y W. Luego pregúntale a la IA «¿Qué signo tiene el trabajo cuando se comprime un gas?». Revisa si usa ΔU = Q − W o ΔU = Q + W y si es coherente. Resuelve un problema con ambas convenciones y muestra que dan lo mismo.
Evidencia: Ficha «Yo pienso · La IA dice · Lo comprobé»: tu observación y tu análisis de signos; la respuesta rotulada «Respuesta de IA»; tu problema resuelto con las dos convenciones, con ✔ o ✘ para la IA. Línea en tu registro de uso de IA.
→ PISA D4 · TIMSS Razonar</t>
    </r>
  </si>
  <si>
    <t>Uso ético de la información
 Presenta su analogía como producción propia y reconoce las ideas tomadas de otros compañeros.</t>
  </si>
  <si>
    <t>E1 · Recuerda que un solo lanzamiento de un dado es impredecible, pero que muchos lanzamientos muestran regularidades estadísticas.</t>
  </si>
  <si>
    <t>E5 · Formula una hipótesis sobre cómo disminuirá el número de dados en juego si se retiran en cada ronda los que caen en seis.</t>
  </si>
  <si>
    <t>E4 · Usa el modelo de dados para explicar la probabilidad de desintegración y deduce la relación T½ = ln 2/λ.</t>
  </si>
  <si>
    <t>D4 · Grafica el número de dados restantes frente a las rondas, ajusta una curva exponencial y obtiene la vida media del modelo.</t>
  </si>
  <si>
    <t>D3 · Evalúa las limitaciones del modelo de dados frente a una muestra real, como el tamaño de la muestra y la dispersión de los datos.</t>
  </si>
  <si>
    <t>Segunda ley y máquinas térmicas</t>
  </si>
  <si>
    <t>Colaboración (Indagar)
 Reúne los datos de todos los equipos en una tabla común para reducir la dispersión y comparar con la curva teórica.</t>
  </si>
  <si>
    <t>Enunciados de Kelvin-Planck y de Clausius
Máquina térmica y eficiencia
Ciclo Otto y centrales térmicas
Procesos reversibles e irreversibles
Ciclo de Carnot y eficiencia de Carnot 
Reversibilidad
Refrigerador y acondicionador de aire
Coeficiente de rendimiento y bomba de calor</t>
  </si>
  <si>
    <t>Conocer: describir las desintegraciones alfa, beta y gamma. Aplicar: calcular actividades y vidas medias; balancear ecuaciones nucleares; calcular edades radiométricas. Razonar: evaluar un modelo estadístico; evaluar incertidumbres y métodos</t>
  </si>
  <si>
    <t>6.6. Análisis de la segunda ley y cálculo de la eficiencia de máquinas térmicas y del ciclo de Carnot, y del rendimiento de refrigeradores y bombas de calor.</t>
  </si>
  <si>
    <t>Informe con la gráfica de dados restantes frente a rondas, ajuste exponencial y cálculo de la vida media</t>
  </si>
  <si>
    <t>E6 · Reconoce que las centrales geotérmicas de Ahuachapán y Berlín convierten parte del calor del subsuelo en electricidad.</t>
  </si>
  <si>
    <t>D1 · Pregunta guía: «¿Qué fracción del calor que extrae una central geotérmica se convierte realmente en energía eléctrica?».</t>
  </si>
  <si>
    <t>E2 · Representa en un diagrama de flujo de energía los calores Q_H y Q_C y el trabajo W de un motor de gasolina y de una turbina.</t>
  </si>
  <si>
    <t>I1 · Busca datos públicos de potencia instalada y generación de las centrales geotérmicas del país y estima su eficiencia.</t>
  </si>
  <si>
    <t>I5 · Justifica por qué las centrales térmicas necesitan torres de enfriamiento aunque parezca que desperdician energía.</t>
  </si>
  <si>
    <t>Colaboración (Indagar)
 Organiza con su equipo la búsqueda y el análisis de datos de las dos centrales para comparar su eficiencia.</t>
  </si>
  <si>
    <t>6.4.  •  Calcula el número de núcleos, la actividad y la vida media de una muestra.
 • Escribe ecuaciones balanceadas de desintegración alfa, beta y gamma, e identifica el núcleo hijo a partir de la conservación de A y Z.
 • Calcula la edad de una muestra por radiocarbono a partir de la fracción de carbono-14 remanente y valora la incertidumbre del resultado.</t>
  </si>
  <si>
    <t>Conocer: describir los flujos de energía de una máquina térmica; enunciar la segunda ley según Kelvin-Planck y según Clausius; describir el funcionamiento de refrigeradores y bombas de calor. Aplicar: calcular eficiencias con datos reales; calcular la eficiencia de Carnot; calcular el coeficiente de rendimiento. Razonar: argumentar su equivalencia y descartar máquinas imposibles; comparar máquinas reales con el límite teórico</t>
  </si>
  <si>
    <t>Diagrama de flujo de energía de una central geotérmica con eficiencia estimada a partir de datos públicos</t>
  </si>
  <si>
    <t>Programar en Python o Scratch una simulación que decida al azar qué núcleos se desintegran en cada paso y grafique el resultado.</t>
  </si>
  <si>
    <t>Convivir
 Acuerda con el grupo reglas justas para lanzar y contar los dados, y registra los datos de todos sin excluir a nadie.
 ↳ Se trabaja en la actividad digital (DigComp 3.4).</t>
  </si>
  <si>
    <t>6.6. • Calcula la eficiencia de máquinas térmicas reales a partir de sus flujos de energía y la representa en un diagrama de flujo.
 • Explica la equivalencia entre los enunciados de Kelvin-Planck y de Clausius y los aplica para descartar máquinas imposibles.
 • Deduce la eficiencia del ciclo de Carnot a partir de sus dos isotermas y dos adiabáticas y la usa para evaluar máquinas reales.
 • Calcula el coeficiente de rendimiento de refrigeradores y acondicionadores de aire y explica el flujo de calor que producen.</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</si>
  <si>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</si>
  <si>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Interacción de la radiación y la materia</t>
  </si>
  <si>
    <t>Radiación ionizante. Tipos y aplicaciones médicas
Radiación con partículas y radiación electromagnética
 de la radiación ionizante
Contador Geiger-Müller
Detectores de centelleo
Cámara de niebla</t>
  </si>
  <si>
    <t>6.5. Exploración de los tipos de radiación ionizante y sus efectos en las células. Reconocimiento de la radiación de partículas y la radiación electromagnética a partir de sus interacciones con la materia. Identificación de los tipos de radiación ionizante y sus aplicaciones médicas. Análisis del principio de funcionamiento de los detectores de radiación a partir de la ionización y la excitación que produce la radiación.</t>
  </si>
  <si>
    <r>
      <rPr>
        <rFont val="Arial"/>
        <color theme="1"/>
        <sz val="9.0"/>
      </rPr>
      <t>Buscar y filtrar en sitios oficiales del sector energético datos de generación geotérmica, registrando la fuente y la fecha.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Busca en una fuente oficial la temperatura aproximada del vapor de una geotérmica del país y la del agua de enfriamiento. Calcula tú la eficiencia de Carnot. Luego pregúntale a la IA «¿Puede una central geotérmica alcanzar una eficiencia del 60 %?». Revisa si usa temperaturas en kelvin y si su respuesta respeta el límite de Carnot.
Evidencia: Ficha «Yo pienso · La IA dice · Lo comprobé»: tus temperaturas con su fuente y tu cálculo; la respuesta rotulada «Respuesta de IA»; la comparación con el límite de Carnot, con ✔ o ✘ para la IA. Línea en tu registro de uso de IA.
Refuerza con: CEL: centrales hidroeléctricas de El Salvador (https://www.cel.gob.sv)
→ PISA I1 · TIMSS Razonar</t>
    </r>
  </si>
  <si>
    <t>Respeto al medio ambiente, entorno y territorio
 Analiza el impacto ambiental del calor cedido por las centrales y el manejo responsable del agua geotérmica.</t>
  </si>
  <si>
    <t>E6 · Reflexiona sobre por qué el personal de radiología de los hospitales salvadoreños usa dosímetros y barreras de plomo.</t>
  </si>
  <si>
    <t>D1 · Pregunta guía: «¿Por qué la radiación de un teléfono móvil no daña el ADN y los rayos X en exceso sí pueden hacerlo?».</t>
  </si>
  <si>
    <t>E1 · Aplica el concepto de energía de ionización para clasificar radiaciones alfa, beta, gamma, rayos X y neutrones como ionizantes.</t>
  </si>
  <si>
    <t>I2 · Distingue entre información científica y opiniones infundadas en publicaciones sobre los efectos de la radiación en la salud.</t>
  </si>
  <si>
    <t>E6 · Valora los efectos directos e indirectos de la radiación ionizante en el ADN celular y la importancia de limitar la exposición.</t>
  </si>
  <si>
    <t>Creatividad (Reforzar)
 Crea una campaña visual original que explique a la comunidad la diferencia entre radiación ionizante y no ionizante.</t>
  </si>
  <si>
    <t>Conocer: clasificar las radiaciones ionizantes y describir sus efectos en las células; identificar aplicaciones médicas; describir detectores. Aplicar: interpretar datos de atenuación. Razonar: justificar blindajes; valorar riesgos y beneficios; seleccionar el detector adecuado</t>
  </si>
  <si>
    <t>Cuadro comparativo de radiaciones ionizantes con su energía y efectos celulares, y análisis crítico de dos publicaciones</t>
  </si>
  <si>
    <t>6.5. • Reconoce los tipos de radiación ionizante y sus principales efectos en las células.
 • Diferencia la radiación de partículas de la radiación electromagnética por sus interacciones con la materia.
 • Ejemplifica aplicaciones médicas de la radiación ionizante según su tipo.
 • Explica cómo el contador Geiger-Müller, el detector de centelleo y la cámara de niebla registran partículas y fotones.</t>
  </si>
  <si>
    <t>7. Óptica</t>
  </si>
  <si>
    <t>Área de competencia</t>
  </si>
  <si>
    <t>Evaluar la fiabilidad de publicaciones en redes sociales sobre radiación y salud contrastándolas con documentos de la OMS y del OIEA.</t>
  </si>
  <si>
    <t>Nombre en español usado en la matriz</t>
  </si>
  <si>
    <t>Uso ético de la información
 Evita difundir información alarmista sobre radiación y comparte solo contenidos verificados con fuentes oficiales.
 ↳ Se trabaja en la actividad digital (DigComp 1.2).</t>
  </si>
  <si>
    <t>Nombre oficial (JRC, en inglés)</t>
  </si>
  <si>
    <t>Oficial + Nuevo (planeador)</t>
  </si>
  <si>
    <t>Temas donde se trabaja</t>
  </si>
  <si>
    <t>Óptica física: interferencia, difracción y polarización</t>
  </si>
  <si>
    <t>Física nuclear: fisión y fusión</t>
  </si>
  <si>
    <t>Principios básicos de las reacciones nucleares
 Principios de los reactores nucleares
 Aplicaciones tecnológicas no eléctricas</t>
  </si>
  <si>
    <t>1.1</t>
  </si>
  <si>
    <t>Interferencia, difracción y polarización de la luz
Aplicaciones tecnológicas</t>
  </si>
  <si>
    <t>6.6. Indagación del concepto y características fundamentales de las reacciones de fisión y fusión nuclear.
Generalización del proceso de transformación del combustible nuclear en energía eléctrica. Investigación de las aplicaciones tecnológicas nucleares no eléctricas.</t>
  </si>
  <si>
    <t>7.1. Experimentación con los fenómenos de interferencia, difracción y polarización de la luz e indagación de la propagación ondulatoria de la luz al incidir en objetos y exploración de sus aplicaciones tecnológicas</t>
  </si>
  <si>
    <t>E1 · Recuerda la curva de energía de enlace por nucleón y la equivalencia E = mc² estudiadas en la unidad de física nuclear.</t>
  </si>
  <si>
    <t>E3 · Predice si se libera energía al dividir un núcleo de uranio-235 o al unir dos núcleos de hidrógeno, y justifica con la curva.</t>
  </si>
  <si>
    <t>Construye dispositivos ópticos de aumento a partir de la comprensión del comportamiento de la luz en lentes y espejos.</t>
  </si>
  <si>
    <t>1. Búsqueda, evaluación y gestión de la información</t>
  </si>
  <si>
    <t>E1 · Aplica el defecto de masa para calcular la energía liberada en una fisión del uranio-235 y en la fusión de deuterio y tritio.</t>
  </si>
  <si>
    <t>D4 · Interpreta los resultados comparando la energía por kilogramo de combustible en la fisión, la fusión y la combustión del petróleo.</t>
  </si>
  <si>
    <t>E6 · Valora las ventajas y los retos de la fusión nuclear como fuente futura de energía con menos residuos de larga duración.</t>
  </si>
  <si>
    <t>Navegación, búsqueda y filtrado de información</t>
  </si>
  <si>
    <t>Colaboración (Indagar)
 Construye con el equipo una tabla comparativa donde cada integrante calcula la energía de un tipo de reacción distinto.</t>
  </si>
  <si>
    <t>Interés por comprender el funcionamiento y la manipulación profesional de diferentes dispositivos ópticos. Autocuidado de la salud visual.</t>
  </si>
  <si>
    <t>Conocer: describir la fisión y la fusión nuclear; identificar componentes; ejemplificar aplicaciones. Aplicar: calcular la energía liberada; representar transformaciones de energía. Razonar: justificar decisiones con criterios</t>
  </si>
  <si>
    <t>Browsing, searching and filtering information</t>
  </si>
  <si>
    <t>Tabla comparativa de la energía liberada por kilogramo en fisión, fusión y combustión con los cálculos de cada caso</t>
  </si>
  <si>
    <t>10.° U2: 2.1 · 10.° U4: 4.4 · 10.° U5: 5.7 · 10.° U6: 6.6 · 10.° U10: 10.3 · 10.° U12: 12.4 · 10.° U15: 15.8 · 10.° U16: 16.1 · 11.° U3: 3.1 · 11.° U6: 6.1 · 11.° U9: 9.3 · 11.° U11: 11.1 · 11.° U12: 12.4 · 11.° U14: 14.1 · 11.° U18: 18.2, 18.7 · 11.° U20: 20.1 · 11.° U22: 22.4 · 11.° U23: 23.9</t>
  </si>
  <si>
    <t>E1 · Observa los colores que aparecen en un disco compacto y en una pompa de jabón y se pregunta de dónde surgen.</t>
  </si>
  <si>
    <t>6.6. • Reconoce las características fundamentales de las reacciones de fisión y fusión nuclear.
 • Representa el proceso general de transformación de un combustible nuclear en energía eléctrica.
 • Ejemplifica aplicaciones tecnológcas nucleares no eléctricas.</t>
  </si>
  <si>
    <t>1.2</t>
  </si>
  <si>
    <t>D1 · Pregunta guía: «¿Qué cambia en la franja de luz que atraviesa una rendija cuando la hacemos más angosta?».</t>
  </si>
  <si>
    <t>E2 · Representa con diagramas de ondas la interferencia constructiva y destructiva y la luz polarizada tras un filtro.</t>
  </si>
  <si>
    <t>D2 · Diseña un montaje con una rendija ajustable, una fuente de luz de baja potencia manejada por la docente y dos filtros polarizadores.</t>
  </si>
  <si>
    <t>Evaluación de la información</t>
  </si>
  <si>
    <t>Organizar en una hoja de cálculo las masas de reactivos y productos, calcular la energía liberada y graficar la comparación.</t>
  </si>
  <si>
    <t>D3 · Evalúa qué variables del montaje, como la distancia a la pantalla o el ancho de la rendija, afectan la nitidez del patrón observado.</t>
  </si>
  <si>
    <t>Evaluating information</t>
  </si>
  <si>
    <t>Respeto al medio ambiente, entorno y territorio
 Compara el impacto ambiental de la fisión, la fusión y la quema de combustibles fósiles en términos de emisiones y residuos.</t>
  </si>
  <si>
    <t>Colaboración (Indagar)
 Reparte en el equipo la preparación del montaje, la observación y el registro fotográfico de los patrones.</t>
  </si>
  <si>
    <t>10.° U1: 1.1 · 10.° U3: 3.5 · 10.° U5: 5.1 · 10.° U6: 6.5 · 10.° U9: 9.4 · 10.° U11: 11.3 · 10.° U12: 12.9 · 10.° U15: 15.6 · 10.° U16: 16.6 · 11.° U1: 1.6 · 11.° U4: 4.6 · 11.° U8: 8.6 · 11.° U10: 10.3 · 11.° U13: 13.1 · 11.° U14: 14.3 · 11.° U18: 18.3 · 11.° U19: 19.1 · 11.° U21: 21.3 · 11.° U23: 23.4</t>
  </si>
  <si>
    <t>Conocer: describir la interferencia, la difracción y la polarización; describir la propagación ondulatoria de la luz; identificar aplicaciones. Aplicar: representar patrones; usar el principio de Huygens. Razonar: relacionar variables del montaje con el patrón; explicar su funcionamiento con fenómenos ondulatorios</t>
  </si>
  <si>
    <t>Registro fotográfico comentado de patrones de difracción, interferencia en película delgada y polarización</t>
  </si>
  <si>
    <t>1.3</t>
  </si>
  <si>
    <t>INDAGACIÓN: Contrastar sus resultados de la experimentación con fenómenos de la luz con los principios de óptica física y geométrica, para generalizar el comportamiento dual de la luz y sus aplicaciones.</t>
  </si>
  <si>
    <t>Gestión de la información</t>
  </si>
  <si>
    <t>Managing information</t>
  </si>
  <si>
    <t>10.° U1: 1.4 · 10.° U5: 5.10 · 10.° U6: 6.1 · 10.° U7: 7.2 · 10.° U8: 8.5 · 10.° U11: 11.1 · 10.° U12: 12.2 · 10.° U15: 15.2 · 10.° U16: 16.8 · 11.° U1: 1.3 · 11.° U4: 4.2 · 11.° U5: 5.5 · 11.° U8: 8.4 · 11.° U9: 9.2, 9.12 · 11.° U15: 15.5 · 11.° U17: 17.4 · 11.° U19: 19.3 · 11.° U20: 20.3 · 11.° U22: 22.7 · 11.° U23: 23.7</t>
  </si>
  <si>
    <t>7.1.  • Explica los fenómenos de interferencia, difracción y polarización de la luz.
 • Describe la propagación ondulatoria de la luz.
 • Discute las aplicaciones tecnológicas de la interferencia, difracción y polarización.</t>
  </si>
  <si>
    <t>2.1</t>
  </si>
  <si>
    <t>La luz tiene una doble naturaleza, se comporta como ondas electromagnéticas y como partículas llamadas fotones. La interferencia y la difracción de la luz son fenómenos asociados al comportamiento ondulatorio, mientras que la reflexión y la refracción se relacionan al comportamiento corpuscular.</t>
  </si>
  <si>
    <t>2. Comunicación y colaboración</t>
  </si>
  <si>
    <t>Interacción a través de y con tecnologías digitales</t>
  </si>
  <si>
    <t>Interacting through and with digital technologies</t>
  </si>
  <si>
    <t>7. Ciencias del espacio</t>
  </si>
  <si>
    <t>10.° U4: 4.1 · 10.° U8: 8.2 · 10.° U15: 15.1 · 11.° U5: 5.6 · 11.° U13: 13.6 · 11.° U17: 17.10 · 11.° U23: 23.2</t>
  </si>
  <si>
    <t>2.2</t>
  </si>
  <si>
    <t>Sistema solar</t>
  </si>
  <si>
    <t>Compartir a través de tecnologías digitales</t>
  </si>
  <si>
    <t>Sharing through digital technologies</t>
  </si>
  <si>
    <t>Leyes del movimiento planetario de Kepler
 Sistema geocéntrico
 Sistema heliocéntrico
 Ley de gravitación universal de Newton</t>
  </si>
  <si>
    <r>
      <rPr>
        <rFont val="Arial"/>
        <color theme="1"/>
        <sz val="9.0"/>
      </rPr>
      <t>5.1 Identificación y resolución de problemas técnicos – Básico</t>
    </r>
    <r>
      <rPr>
        <rFont val="Arial"/>
        <color rgb="FF7030A0"/>
        <sz val="9.0"/>
      </rPr>
      <t xml:space="preserve">
Con la IA (DigComp 3.0, nivel real): CS1.2.13 – Intermedio: valora qué tan confiable es una fuente, teniendo en cuenta el papel de la IA.</t>
    </r>
  </si>
  <si>
    <t>10.° U3: 3.1 · 10.° U7: 7.1 · 10.° U11: 11.2 · 10.° U12: 12.5 · 10.° U15: 15.9 · 11.° U2: 2.1 · 11.° U6: 6.5 · 11.° U9: 9.11 · 11.° U17: 17.8 · 11.° U19: 19.4</t>
  </si>
  <si>
    <t>7.1. Simulación de los parámetros orbitales de sistemas planetarios descritos por las leyes de Kepler. Exploración del razonamiento que originó los sistemas geocéntrico y heliocéntrico. Cálculo de la masa de la Tierra a partir de la ley de la gravitación universal de Newton.</t>
  </si>
  <si>
    <t>Cuestiona sobre los avances en astronomía gravitacional.</t>
  </si>
  <si>
    <t>2.3</t>
  </si>
  <si>
    <t>Participación ciudadana a través de tecnologías digitales</t>
  </si>
  <si>
    <t>Engaging in citizenship through digital technologies</t>
  </si>
  <si>
    <r>
      <rPr>
        <rFont val="Arial"/>
        <color theme="1"/>
        <sz val="9.0"/>
      </rPr>
      <t>Resolver problemas de exposición y enfoque del teléfono para fotografiar con nitidez los patrones de difracción en la pantalla.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Mira una lámpara a través de una rendija entre dos dedos y de una tela fina; refleja luz en un CD; observa una pantalla de celular con lentes de sol polarizados girándolos. Dibuja y describe cada patrón. Pregúntale al cuaderno NotebookLM «¿Qué diferencia hay entre interferencia, difracción y polarización?». Clasifica tus observaciones y compruébalas en el simulador de ondas.
Evidencia: Ficha «Yo pienso · La IA dice · Lo comprobé»: tus dibujos y descripciones; la explicación rotulada «Respuesta de IA»; la clasificación de cada observación y lo visto en el simulador, con ✔ o ✘ para la IA. Línea en tu registro de uso de IA.
Refuerza con: PhET «Ondas: Intro» (agua, sonido y luz) (https://phet.colorado.edu/sims/html/waves-intro/latest/waves-intro_es.html)
→ PISA D2 · TIMSS Razonar</t>
    </r>
  </si>
  <si>
    <t>10.° U3: 3.2 · 10.° U5: 5.2 · 10.° U7: 7.8 · 10.° U11: 11.7 · 10.° U12: 12.10 · 10.° U16: 16.4 · 11.° U2: 2.3 · 11.° U4: 4.4 · 11.° U9: 9.13 · 11.° U22: 22.8</t>
  </si>
  <si>
    <t>Apertura mental ante los razonamientos históricos y prospectivos de la astronomía y la astrobiología. Curiosidad ante el planteamiento de preguntas y situaciones concernientes a la exploración espacial.</t>
  </si>
  <si>
    <t>Convivir
 Cumple las normas de seguridad acordadas y nunca dirige la fuente de luz hacia los ojos de sus compañeros.</t>
  </si>
  <si>
    <t>2.4</t>
  </si>
  <si>
    <t>Colaboración a través de tecnologías digitales</t>
  </si>
  <si>
    <t>Collaborating through digital technologies</t>
  </si>
  <si>
    <t>10.° U1: 1.2 · 10.° U5: 5.5 · 10.° U6: 6.3 · 10.° U11: 11.11 · 10.° U12: 12.7 · 10.° U15: 15.12 · 11.° U1: 1.1 · 11.° U3: 3.3 · 11.° U9: 9.1 · 11.° U11: 11.2 · 11.° U15: 15.7 · 11.° U18: 18.5 · 11.° U20: 20.4</t>
  </si>
  <si>
    <t>E1 · Recuerda las órbitas circulares de satélites y la ley de gravitación universal trabajadas en 10.°.</t>
  </si>
  <si>
    <t>Óptica física: dispersión y descomposición de la luz</t>
  </si>
  <si>
    <t>D1 · Pregunta guía: «¿Por qué Mercurio completa su órbita en 88 días y Neptuno en casi 165 años?».</t>
  </si>
  <si>
    <t>Dispersión y descomposición de la luz
 Dispersión y descomposición de la luz
 Aplicaciones tecnológicas</t>
  </si>
  <si>
    <t>2.5</t>
  </si>
  <si>
    <t>E2 · Representa órbitas elípticas con su semieje mayor, excentricidad, perihelio y afelio, y relaciona T² con a³.</t>
  </si>
  <si>
    <t xml:space="preserve">7.2. Reconocimiento y experimentación con los fenómenos de dispersión y descomposición de la luz; y exploración de sus aplicaciones tecnológicas </t>
  </si>
  <si>
    <t>D4 · Grafica T² frente a a³ con datos reales de los planetas y concluye que la pendiente es igual para todo el sistema solar.</t>
  </si>
  <si>
    <t>Comportamiento digital</t>
  </si>
  <si>
    <t>Digital behaviour</t>
  </si>
  <si>
    <t>E3 · Predice el periodo orbital de un asteroide a partir de su semieje mayor y justifica el cálculo con la tercera ley de Kepler.</t>
  </si>
  <si>
    <t>10.° U1: 1.6 · 10.° U10: 10.6 · 10.° U15: 15.7 · 11.° U6: 6.2 · 11.° U11: 11.3 · 11.° U16: 16.2 · 11.° U22: 22.9</t>
  </si>
  <si>
    <t>Colaboración (Indagar)
 Distribuye en el equipo el registro de datos de los planetas y construye con todos la gráfica T² frente a a³.</t>
  </si>
  <si>
    <t>E1 · Recuerda cómo se forma el arcoíris y lo relaciona con lo que ocurre cuando la luz del sol atraviesa un prisma.</t>
  </si>
  <si>
    <t>E3 · Predice qué color se desviará más al atravesar un prisma de vidrio y justifica su predicción con el índice de refracción.</t>
  </si>
  <si>
    <t>Conocer: enunciar las leyes de Kepler; describir modelos; enunciar la ley de gravitación universal. Aplicar: calcular períodos orbitales; calcular la masa de la Tierra. Razonar: argumentar con evidencias históricas</t>
  </si>
  <si>
    <t>2.6</t>
  </si>
  <si>
    <t>E2 · Representa con un diagrama de rayos la descomposición de la luz blanca en un prisma y la variación del índice con la longitud de onda.</t>
  </si>
  <si>
    <t>Gráfica de T² frente a a³ de los ocho planetas con cálculo de la pendiente y predicción para un asteroide</t>
  </si>
  <si>
    <t>Gestión de la identidad digital</t>
  </si>
  <si>
    <t>D4 · Mide los ángulos de desviación del rojo y del violeta con un prisma y un transportador y concluye cómo varía el índice con el color.</t>
  </si>
  <si>
    <t>INDAGACIÓN Contrastar razonamientos y conclusiones propias con los principios y teorías de la astronomía, para generalizar el comportamiento de sistemas conformados por objetos astronómicos.</t>
  </si>
  <si>
    <t>Managing digital identity</t>
  </si>
  <si>
    <t>D3 · Evalúa por qué conviene usar una rendija delgada y una pantalla lejana para separar mejor los colores del espectro.</t>
  </si>
  <si>
    <t>10.° U3: 3.6 · 10.° U9: 9.6 · 10.° U15: 15.3 · 11.° U12: 12.9 · 11.° U17: 17.7 · 11.° U22: 22.6</t>
  </si>
  <si>
    <t>Comunicación (Indagar)
 Comunica en un informe breve con tablas y diagramas los ángulos de desviación medidos para cada color.</t>
  </si>
  <si>
    <t>Conocer: identificar la dispersión y la descomposición de la luz en situaciones cotidianas; describir aplicaciones tecnológicas de la dispersión. Aplicar: medir desviaciones angulares; construir un espectroscopio. Razonar: concluir sobre la dependencia del índice con la longitud de onda</t>
  </si>
  <si>
    <t>3.1</t>
  </si>
  <si>
    <t>3. Creación de contenidos</t>
  </si>
  <si>
    <t>Informe con diagrama de rayos, tabla de ángulos de desviación y conclusión sobre la dispersión cromática</t>
  </si>
  <si>
    <t>7.1. • Identifica los parámetros orbitales de los sistemas planetarios descritos por las leyes de Kepler.
 • Explica el razonamiento que llevó al planteamiento de los sistemas geocéntrico y heliocéntrico.
 • Calcula la masa de la Tierra a partir de la ley de la gravitación universal de Newton.</t>
  </si>
  <si>
    <t>Desarrollo de contenidos digitales</t>
  </si>
  <si>
    <t>Developing digital content</t>
  </si>
  <si>
    <t>7.2. • Explica los fenómenos de dispersión y descomposición de la luz.
 • Identifica los fenómenos de dispersión y descomposición de la luz en situaciones cotidianas.
 • Describe las aplicaciones tecnológicas de la dispersión y descomposición de la luz.</t>
  </si>
  <si>
    <t>A través del cosmos se encuentran diversos tipos de sistemas conformados por objetos astronómicos. A pesar de las largas distancias que los separan, la astronomía y la radioastronomía, en conjunto con un rápido desarrollo tecnológico, han permitido su estudio cada vez más detallado. Actualmente, incluso es posible inferir las condiciones de habitabilidad de los exoplanetas.</t>
  </si>
  <si>
    <t>10.° U2: 2.4 · 10.° U5: 5.4 · 10.° U7: 7.3 · 10.° U9: 9.7 · 10.° U16: 16.3 · 11.° U2: 2.2 · 11.° U5: 5.7 · 11.° U7: 7.2 · 11.° U8: 8.1 · 11.° U13: 13.2 · 11.° U15: 15.6 · 11.° U20: 20.5 · 11.° U23: 23.5</t>
  </si>
  <si>
    <t>3.2</t>
  </si>
  <si>
    <r>
      <rPr>
        <rFont val="Arial"/>
        <color theme="1"/>
        <sz val="9.0"/>
      </rPr>
      <t>3.2 Integración y reelaboración de contenidos digitales – Básico</t>
    </r>
    <r>
      <rPr>
        <rFont val="Arial"/>
        <color rgb="FF7030A0"/>
        <sz val="9.0"/>
      </rPr>
      <t xml:space="preserve">
Con la IA (DigComp 3.0, nivel real): CS1.2.14 – Avanzado: examina de forma continua cómo la IA, los sesgos y distintos intereses influyen en la información.</t>
    </r>
  </si>
  <si>
    <t>Integración y reelaboración de contenidos digitales</t>
  </si>
  <si>
    <t>Integrating and re-elaborating digital content</t>
  </si>
  <si>
    <t>Usar el simulador PhET «Gravedad y órbitas» y GeoGebra para variar la excentricidad y observar el cumplimiento de las leyes de Kepler.</t>
  </si>
  <si>
    <t>10.° U2: 2.5 · 10.° U7: 7.9 · 10.° U11: 11.6 · 10.° U12: 12.8 · 10.° U16: 16.5 · 11.° U4: 4.5 · 11.° U9: 9.6 · 11.° U13: 13.5 · 11.° U16: 16.1 · 11.° U22: 22.1</t>
  </si>
  <si>
    <t>Respeto al medio ambiente, entorno y territorio
 Reconoce la basura espacial en órbita terrestre como un problema ambiental y valora las normas para retirar satélites en desuso.</t>
  </si>
  <si>
    <r>
      <rPr>
        <rFont val="Arial"/>
        <color theme="1"/>
        <sz val="9.0"/>
      </rPr>
      <t>Reelaborar la fotografía del espectro obtenido añadiendo anotaciones digitales de los colores y los ángulos medidos.</t>
    </r>
    <r>
      <rPr>
        <rFont val="Arial"/>
        <color rgb="FF7030A0"/>
        <sz val="9.0"/>
      </rPr>
      <t xml:space="preserve">
IA (Indagar · el estudiante, solo o en pareja).
Herramienta y medio: Climate TRACE (climatetrace.org) en el navegador, sin cuenta.
Actividad: Construye un espectroscopio con una caja y un trozo de CD. Observa una lámpara fluorescente, un foco LED y el cielo (nunca el Sol directo) y dibuja sus espectros. Luego lee en Climate TRACE cómo se estiman emisiones con satélites e IA. Escribe qué papel tiene la descomposición de la luz en esos satélites y qué límites tiene la estimación.
Evidencia: Ficha «Yo pienso · La IA dice · Lo comprobé»: tus dibujos de los tres espectros; el método de estimación rotulado «Respuesta de IA»; tu explicación de la espectroscopía satelital y sus límites, con ✔ o ✘ para la estimación. Línea en tu registro de uso de IA.
→ PISA D4 · TIMSS Razonar</t>
    </r>
  </si>
  <si>
    <t>3.3</t>
  </si>
  <si>
    <t>Uso ético de la información
 Indica qué imágenes son propias y cita la fuente de los espectros de referencia usados para comparar.
 ↳ Se trabaja en la actividad digital (DigComp 3.2).</t>
  </si>
  <si>
    <t>Derechos de autor y licencias</t>
  </si>
  <si>
    <t>Copyright and licences</t>
  </si>
  <si>
    <t>Las unidades de medida, su definición, simbología, prefijos y las reglas de escritura, así como el manejo de cifras  a emplear, son las estandarizadas por el Sistema Internacional (SI),^1 de acuerdo con el Reglamento Técnico Salvadoreño (RTS) 01.02.01:18 o su actualización. En los valores numéricos se empleará el punto como separador decimal. Los números con muchas cifras serepartirán en grupos de tres cifras, separadas por un espacio. No se emplearán comas. Adicionalmente, se podrán utilizar las siguientes unidades de medida reconocidas por la Unión Astronómica Internacional (IAU, por sus siglas en inglés).
 au: unidad astronómica, longitud igual a 0.149 598 Tm que equivale aproximadamente a la distancia media entre la Tierra y el Sol.
 ly: año luz, unidad de longitud definida por la distancia que recorre la luz en un año terrestre.
 pc: Parsec, unidad de longitud igual a 206 265 au o 3.261 6 ly.
 M☉: Masa solar, utilizada para medir comparativamente la masa de estrellas y otros objetos astronómicos masivos, equivale a 1.989 × 10^30 kg.</t>
  </si>
  <si>
    <t>10.° U4: 4.2 · 10.° U8: 8.4 · 10.° U13: 13.3 · 10.° U16: 16.10 · 11.° U5: 5.3 · 11.° U12: 12.2 · 11.° U15: 15.2 · 11.° U20: 20.6</t>
  </si>
  <si>
    <t>Óptica geométrica: reflexión y refracción</t>
  </si>
  <si>
    <t>3.4</t>
  </si>
  <si>
    <t>Dispersión, reflexión, refracción y reflexión interna total</t>
  </si>
  <si>
    <t>Pensamiento computacional y programación</t>
  </si>
  <si>
    <t>7.3. Indagación del comportamiento corpuscular de la luz, medición de los ángulos de incidencia, refracción, reflexión y crítico; y resolución de problemas sobre reflexión, refracción y reflexión interna total.</t>
  </si>
  <si>
    <t>Computational thinking and programming</t>
  </si>
  <si>
    <t>Tecnologías para la observación espacial</t>
  </si>
  <si>
    <t>10.° U2: 2.2 · 10.° U3: 3.4 · 10.° U5: 5.9 · 10.° U6: 6.2 · 10.° U7: 7.5 · 10.° U9: 9.3 · 10.° U10: 10.4 · 10.° U11: 11.9 · 10.° U12: 12.1 · 10.° U15: 15.5 · 10.° U16: 16.9 · 11.° U1: 1.5 · 11.° U3: 3.4 · 11.° U5: 5.4 · 11.° U8: 8.3 · 11.° U9: 9.7 · 11.° U10: 10.2 · 11.° U12: 12.3 · 11.° U13: 13.3 · 11.° U15: 15.1 · 11.° U16: 16.5 · 11.° U17: 17.5 · 11.° U19: 19.2 · 11.° U21: 21.2</t>
  </si>
  <si>
    <t>Astronomía de longitudes de onda
 Telescopios y detectores</t>
  </si>
  <si>
    <t>E1 · Recuerda la ley de Snell obtenida en el laboratorio y observa el brillo de un vaso de vidrio con agua visto desde abajo.</t>
  </si>
  <si>
    <t>4.1</t>
  </si>
  <si>
    <t>E3 · Predice si un rayo que viaja del agua al aire con 60° de incidencia saldrá o se reflejará totalmente.</t>
  </si>
  <si>
    <t>7.2. Análisis del espectro de radiación térmica emitido por un cuerpo celeste. Reconocimiento de las ventajas y desventajas en el uso de telescopios de refracción y reflexión. Exploración de los tipos de detectores de imágenes empleados en los observatorios astronómicos terrestres y espaciales.</t>
  </si>
  <si>
    <t>4. Seguridad, bienestar y uso responsable</t>
  </si>
  <si>
    <t>E1 · Aplica la ley de reflexión, la ley de Snell y la condición de ángulo crítico para resolver problemas con varios medios.</t>
  </si>
  <si>
    <t>Protección de dispositivos</t>
  </si>
  <si>
    <t>E4 · Usa el modelo de reflexión interna total para explicar cómo la fibra óptica transporta señales de internet.</t>
  </si>
  <si>
    <t>Protecting devices</t>
  </si>
  <si>
    <t>E3 · Justifica por qué los diamantes y los prismas de los binoculares aprovechan la reflexión interna total.</t>
  </si>
  <si>
    <t>10.° U2: 2.6 · 10.° U9: 9.2 · 10.° U15: 15.11 · 11.° U7: 7.3 · 11.° U12: 12.5 · 11.° U23: 23.3</t>
  </si>
  <si>
    <t>E1 · Recuerda el espectro electromagnético y observa que las estrellas del cielo nocturno salvadoreño tienen colores distintos.</t>
  </si>
  <si>
    <t>Colaboración (Explicar)
 Resuelve en parejas problemas de varios medios, explicándose mutuamente cada paso del razonamiento.</t>
  </si>
  <si>
    <t>E5 · Formula una hipótesis que relacione el color rojizo de Betelgeuse y el azulado de Rigel con su temperatura superficial.</t>
  </si>
  <si>
    <t>4.2</t>
  </si>
  <si>
    <t>Conocer: describir la propagación rectilínea de la luz; definir los ángulos de incidencia, reflexión, refracción y crítico. Aplicar: resolver problemas con la ley de Snell; predecir trayectorias con rayos; medir ángulos y linealizar datos. Razonar: decidir si ocurre reflexión interna total</t>
  </si>
  <si>
    <t>E2 · Interpreta curvas de radiación de cuerpo negro y aplica la ley de Wien λ_máx·T = 2.898 × 10⁻³ m·K a varias estrellas.</t>
  </si>
  <si>
    <t>Problemario resuelto con diagramas de rayos para reflexión, refracción y reflexión interna total</t>
  </si>
  <si>
    <t>Protección de datos personales y privacidad</t>
  </si>
  <si>
    <t>D4 · Analiza espectros publicados de estrellas y concluye en qué región del espectro emite más cada objeto según su temperatura.</t>
  </si>
  <si>
    <t>Protecting personal data and privacy</t>
  </si>
  <si>
    <t>7.3. • Resuelve problemas que involucran reflexión, refracción y reflexión interna total.
 • Reconoce la predictibilidad de la trayectoria de la luz al incidir en un objeto.
 • Mide directamente los ángulos de incidencia, refracción y reflexión.</t>
  </si>
  <si>
    <t>E3 · Predice en qué longitud de onda emite más la Tierra y justifica por qué se observa con telescopios infrarrojos.</t>
  </si>
  <si>
    <t>10.° U1: 1.3 · 10.° U8: 8.1 · 10.° U14: 14.1 · 11.° U4: 4.1 · 11.° U10: 10.4 · 11.° U12: 12.7 · 11.° U17: 17.1 · 11.° U23: 23.6</t>
  </si>
  <si>
    <t>Creatividad (Explorar)
 Propone una forma original de representar con luces de colores la relación entre temperatura y color de las estrellas.</t>
  </si>
  <si>
    <t>4.3</t>
  </si>
  <si>
    <r>
      <rPr>
        <rFont val="Arial"/>
        <color theme="1"/>
        <sz val="9.0"/>
      </rPr>
      <t>3.4 Pensamiento computacional y programación – Básico</t>
    </r>
    <r>
      <rPr>
        <rFont val="Arial"/>
        <color rgb="FF7030A0"/>
        <sz val="9.0"/>
      </rPr>
      <t xml:space="preserve">
Con la IA (DigComp 3.0, nivel real): CS1.2.13 – Intermedio: valora qué tan confiable es una fuente, teniendo en cuenta el papel de la IA.</t>
    </r>
  </si>
  <si>
    <t>Conocer: describir el espectro de radiación térmica; reconocer ventajas y desventajas de los telescopios; clasificar detectores. Aplicar: calcular temperaturas con la ley de Wien; relacionar detector y longitud de onda. Razonar: justificar la selección de un instrumento</t>
  </si>
  <si>
    <t>Cuidado del bienestar</t>
  </si>
  <si>
    <t>Tabla de estrellas con su longitud de onda de máxima emisión, temperatura calculada y región del espectro</t>
  </si>
  <si>
    <t>Supporting wellbeing</t>
  </si>
  <si>
    <t>10.° U10: 10.2 · 10.° U14: 14.2 · 11.° U4: 4.7 · 11.° U17: 17.6</t>
  </si>
  <si>
    <t>7.2. • Relaciona la temperatura de un objeto astronómico con el tipo de radiación que emite.
 • Reconoce las ventajas y desventajas en el uso de telescopios de refracción y reflexión.
 • Ejemplifica tipos de detectores de imágenes empleados en los observatorios astronómicos terrestres y espaciales.</t>
  </si>
  <si>
    <t>4.4</t>
  </si>
  <si>
    <r>
      <rPr>
        <rFont val="Arial"/>
        <color theme="1"/>
        <sz val="9.0"/>
      </rPr>
      <t>Programar en hoja de cálculo o en Python sencillo un algoritmo con condicionales que decida si hay refracción o reflexión interna total.</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un lápiz en un vaso con agua y una moneda en el fondo de una taza; describe lo que ves. Con un transportador y una regla, mide ángulos de incidencia y refracción de un rayo en un recipiente transparente. Calcula el índice del agua con la ley de Snell y el ángulo crítico. Pregúntale al cuaderno NotebookLM «¿Qué es la reflexión interna total y dónde se usa?». Comprueba en el simulador.
Evidencia: Ficha «Yo pienso · La IA dice · Lo comprobé»: tus observaciones, tabla de ángulos e índice calculado; la explicación rotulada «Respuesta de IA»; tu ángulo crítico y el del simulador, con ✔ o ✘ para la IA. Línea en tu registro de uso de IA.
Refuerza con: PhET «Reflexión y refracción de la luz» (https://phet.colorado.edu/sims/html/bending-light/latest/bending-light_es.html)
→ PISA E4 · TIMSS Razonar</t>
    </r>
  </si>
  <si>
    <t>Convivir
 Comparte su algoritmo con otra pareja y revisa el de ellos con comentarios respetuosos.
 ↳ Se trabaja en la actividad digital (DigComp 3.4).</t>
  </si>
  <si>
    <t>Buscar y filtrar espectros estelares en bases de datos astronómicas públicas usando el tipo espectral como criterio.</t>
  </si>
  <si>
    <r>
      <rPr>
        <rFont val="Arial"/>
        <color theme="1"/>
        <sz val="10.0"/>
      </rPr>
      <t>Protección del medio ambiente</t>
    </r>
    <r>
      <rPr>
        <rFont val="Arial"/>
        <color rgb="FF7030A0"/>
        <sz val="10.0"/>
      </rPr>
      <t xml:space="preserve">
DigComp 3.0: Impacto ambiental de las tecnologías digitales</t>
    </r>
  </si>
  <si>
    <t>Respeto al medio ambiente, entorno y territorio
 Relaciona la emisión infrarroja de la Tierra con el efecto invernadero y la importancia de reducir las emisiones del país.</t>
  </si>
  <si>
    <r>
      <rPr>
        <rFont val="Arial"/>
        <color theme="1"/>
        <sz val="10.0"/>
      </rPr>
      <t>Protecting the environment</t>
    </r>
    <r>
      <rPr>
        <rFont val="Arial"/>
        <color rgb="FF7030A0"/>
        <sz val="10.0"/>
      </rPr>
      <t xml:space="preserve">
Nombre oficial en DigComp 3.0 (JRC, 2025): Environmental impacts of digital technologies</t>
    </r>
  </si>
  <si>
    <t>Óptica geométrica: imágenes</t>
  </si>
  <si>
    <t>Comportamiento de la luz en medios opacos y transparentes
 Aplicaciones tecnológicas</t>
  </si>
  <si>
    <t>Sistemas planetarios y origen del universo</t>
  </si>
  <si>
    <t>7.4. Indagación de las propiedades de las imágenes: Determinación de la posición y el tamaño de una imagen formada por refracción y reflexión; y exploración de las aplicaciones tecnológicas de las propiedades de las imágenes.</t>
  </si>
  <si>
    <t>10.° U3: 3.7 · 10.° U5: 5.12 · 10.° U7: 7.7 · 10.° U10: 10.5 · 10.° U11: 11.8 · 10.° U13: 13.1 · 10.° U15: 15.10 · 10.° U16: 16.12 · 11.° U6: 6.3 · 11.° U7: 7.5 · 11.° U8: 8.5 · 11.° U9: 9.4 · 11.° U10: 10.5 · 11.° U11: 11.4 · 11.° U12: 12.6 · 11.° U13: 13.7 · 11.° U15: 15.4 · 11.° U17: 17.9 · 11.° U18: 18.6 · 11.° U21: 21.4 · 11.° U23: 23.8</t>
  </si>
  <si>
    <t>Exoplanetas
Propiedades de exoplanetas
Introducción la astrobiología
Expansión del universo y ley de Hubble
Teoría del Big Bang
Nucleosíntesis primordial y radiación de fondo</t>
  </si>
  <si>
    <t>5.1</t>
  </si>
  <si>
    <t>7.3. Indagación de los métodos para detectar y caracterizar un exoplaneta. Exploración de las propiedades deducibles de los exoplanetas. Discusión acerca de las condiciones que permiten el desarrollo de vida en un planeta y cómo detectarlas. Interpretación de las evidencias de la teoría del Big Bang: ley de Hubble, radiación cósmica de fondo y abundancia de elementos ligeros.</t>
  </si>
  <si>
    <t>5. Identificación y resolución de problemas</t>
  </si>
  <si>
    <t>E1 · Recuerda la imagen de un espejo plano y observa que una piedra en el fondo de una poza parece estar más cerca de la superficie.</t>
  </si>
  <si>
    <t>Identificación y resolución de problemas técnicos</t>
  </si>
  <si>
    <t>E3 · Predice qué altura mínima debe tener un espejo de pared para que una persona se vea de cuerpo entero.</t>
  </si>
  <si>
    <t>Identifying and solving technical problems</t>
  </si>
  <si>
    <t>E2 · Calcula con diagramas de rayos la posición y el tamaño de imágenes en espejos planos y la profundidad aparente en una superficie plana de agua.</t>
  </si>
  <si>
    <t>E1 · Recuerda que un planeta que pasa frente a su estrella bloquea una pequeña fracción de su luz, como la Luna en un eclipse solar.</t>
  </si>
  <si>
    <t>10.° U2: 2.3 · 10.° U5: 5.3 · 10.° U6: 6.7 · 10.° U7: 7.4 · 10.° U9: 9.5 · 10.° U11: 11.4 · 10.° U12: 12.3 · 10.° U16: 16.2 · 11.° U1: 1.4 · 11.° U5: 5.2 · 11.° U9: 9.8 · 11.° U13: 13.4 · 11.° U14: 14.2 · 11.° U18: 18.1 · 11.° U22: 22.3</t>
  </si>
  <si>
    <t>D4 · Mide la profundidad aparente de una moneda en un recipiente con agua y la compara con la calculada con el índice de refracción.</t>
  </si>
  <si>
    <t>D1 · Pregunta guía: «¿Cómo se puede detectar un planeta que está a cientos de años luz y no se ve directamente?».</t>
  </si>
  <si>
    <t>D3 · Evalúa por qué la profundidad aparente medida cambia cuando se observa la moneda desde un ángulo oblicuo.</t>
  </si>
  <si>
    <t>E2 · Interpreta curvas de luz de tránsitos y gráficas de velocidad radial, y calcula el radio del planeta a partir de la caída de brillo.</t>
  </si>
  <si>
    <t>5.2</t>
  </si>
  <si>
    <t>Pensamiento crítico (Reforzar)
 Contrasta sus cálculos con las mediciones y argumenta las causas de las diferencias encontradas.</t>
  </si>
  <si>
    <t>D4 · Analiza una curva de luz real de la misión TESS o Kepler y concluye el periodo orbital y el tamaño del exoplaneta.</t>
  </si>
  <si>
    <t>Conocer: reconocer las propiedades de las imágenes; describir dispositivos ópticos. Aplicar: calcular posición y tamaño de imágenes; trazar diagramas de rayos; construir un dispositivo óptico. Razonar: contrastar cálculo y medición; explicar la formación de la imagen</t>
  </si>
  <si>
    <t>D3 · Evalúa por qué el método de tránsito favorece la detección de planetas grandes y cercanos a su estrella.</t>
  </si>
  <si>
    <t>Identificación de necesidades y respuestas tecnológicas</t>
  </si>
  <si>
    <t>Hoja de problemas con diagramas de rayos y registro de la medición de la profundidad aparente</t>
  </si>
  <si>
    <t>Identifying needs and digital technological responses</t>
  </si>
  <si>
    <t>Creatividad (Indagar)
 Diseña una simulación casera del tránsito con una lámpara de bajo voltaje, esferas y el sensor de luz del teléfono.</t>
  </si>
  <si>
    <t>10.° U3: 3.3 · 10.° U5: 5.8 · 10.° U8: 8.3 · 10.° U11: 11.5 · 10.° U13: 13.2 · 10.° U16: 16.7 · 11.° U4: 4.3 · 11.° U9: 9.9 · 11.° U12: 12.8 · 11.° U16: 16.3 · 11.° U22: 22.5</t>
  </si>
  <si>
    <t>7.4. • Determina la posición y el tamaño de una imagen formada por refracción y reflexión.
 • Reconoce las propiedades de las imágenes.
 • Describe aplicaciones tecnológicas de las propiedades de las imágenes.</t>
  </si>
  <si>
    <t>Conocer: describir métodos de detección de exoplanetas; describir las evidencias del Big Bang. Aplicar: calcular el radio de un exoplaneta; calcular densidades; calcular la constante de Hubble. Razonar: argumentar sobre la habitabilidad; argumentar sobre condiciones de habitabilidad y evaluar evidencias; evaluar evidencias</t>
  </si>
  <si>
    <t>Informe del análisis de una curva de luz real con el cálculo del periodo y del radio del exoplaneta</t>
  </si>
  <si>
    <t>5.3</t>
  </si>
  <si>
    <t>Identificación de soluciones creativas con tecnologías digitales</t>
  </si>
  <si>
    <t>7.3. • Explica un método empleado para detectar o caracterizar un exoplaneta.
 • Ejemplifica las propiedades deducibles de los exoplanetas.
 • Argumenta cuáles son las condiciones que permiten el desarrollo de la vida en un planeta.
 • Explica las evidencias de la teoría del Big Bang y relaciona la nucleosíntesis primordial con la abundancia de hidrógeno y helio del universo.</t>
  </si>
  <si>
    <t>Identifying creative solutions using digital technologies</t>
  </si>
  <si>
    <r>
      <rPr>
        <rFont val="Arial"/>
        <color theme="1"/>
        <sz val="9.0"/>
      </rPr>
      <t>5.3 Identificación de soluciones creativas con tecnologías digitales – Básico</t>
    </r>
    <r>
      <rPr>
        <rFont val="Arial"/>
        <color rgb="FF7030A0"/>
        <sz val="9.0"/>
      </rPr>
      <t xml:space="preserve">
DigComp 3.0 cambió el nombre de la 4.4: «Impacto ambiental de las tecnologías digitales» (Environmental impacts of digital technologies).
Con la IA (DigComp 3.0, nivel real): CS1.2.08 – Intermedio: reconoce que los datos con que se entrena una IA influyen en qué tan confiable es.</t>
    </r>
  </si>
  <si>
    <t>10.° U1: 1.5 · 10.° U4: 4.3 · 10.° U5: 5.11 · 10.° U6: 6.4 · 10.° U7: 7.6 · 10.° U10: 10.1 · 10.° U11: 11.10 · 10.° U12: 12.6 · 10.° U15: 15.4 · 10.° U16: 16.11 · 11.° U1: 1.2 · 11.° U3: 3.2 · 11.° U5: 5.1 · 11.° U7: 7.1 · 11.° U8: 8.2 · 11.° U9: 9.5 · 11.° U10: 10.1 · 11.° U12: 12.1 · 11.° U15: 15.3 · 11.° U16: 16.4 · 11.° U17: 17.3 · 11.° U18: 18.4 · 11.° U19: 19.5 · 11.° U20: 20.2 · 11.° U21: 21.1 · 11.° U22: 22.2</t>
  </si>
  <si>
    <t>Organizar en una hoja de cálculo los datos de brillo del archivo de exoplanetas de la NASA y graficar la curva de luz.</t>
  </si>
  <si>
    <t>Respeto al medio ambiente, entorno y territorio
 Contrasta la rareza de los planetas habitables descubiertos con la necesidad de cuidar el único planeta habitable conocido.</t>
  </si>
  <si>
    <t>5.4</t>
  </si>
  <si>
    <t>Identificación y atención de necesidades de competencia digital</t>
  </si>
  <si>
    <t>Identifying and addressing digital competence needs</t>
  </si>
  <si>
    <r>
      <rPr>
        <rFont val="Arial"/>
        <color theme="1"/>
        <sz val="9.0"/>
      </rPr>
      <t>Usar GeoGebra para trazar los rayos de un espejo plano y de una superficie de agua y comprobar la posición de la imagen.</t>
    </r>
    <r>
      <rPr>
        <rFont val="Arial"/>
        <color rgb="FF7030A0"/>
        <sz val="9.0"/>
      </rPr>
      <t xml:space="preserve">
IA (Indagar · el estudiante, solo o en pareja).
Herramienta y medio: app Pl@ntNet (plantnet.org) en el celular o la tableta; muestra varias opciones con su porcentaje de confianza.
Actividad: Pon una lupa delante de la cámara del celular y fotografía una flor de maquilishuat o de otra planta a varias distancias, dentro y fuera de la distancia focal. Escribe antes en qué casos la imagen será nítida, derecha o invertida. Sube cada foto a Pl@ntNet y anota si la reconoce. Explica con la óptica de lentes por qué la IA falla con ciertas imágenes.
Evidencia: Ficha «Yo pienso · La IA dice · Lo comprobé»: tu predicción y tabla distancia-tipo de imagen; lo que identificó Pl@ntNet rotulado «Respuesta de IA»; tu explicación óptica de cada acierto o fallo, con ✔ o ✘ para la IA. Línea en tu registro de uso de IA.
Refuerza con: PhET «Óptica geométrica» (https://phet.colorado.edu/sims/html/geometric-optics/latest/geometric-optics_es.html)
→ PISA D4 · TIMSS Razonar</t>
    </r>
  </si>
  <si>
    <t>10.° U2: 2.7 · 10.° U5: 5.6 · 10.° U9: 9.1 · 10.° U13: 13.4 · 11.° U6: 6.4 · 11.° U7: 7.4 · 11.° U9: 9.10 · 11.° U17: 17.2 · 11.° U23: 23.1</t>
  </si>
  <si>
    <t>Respeto al medio ambiente, entorno y territorio
 Diseña con espejos planos una forma de llevar luz natural al interior del aula para reducir el uso de iluminación eléctrica.</t>
  </si>
  <si>
    <t>Leyenda:</t>
  </si>
  <si>
    <r>
      <rPr>
        <rFont val="Arial"/>
        <i/>
        <color theme="1"/>
        <sz val="9.0"/>
      </rPr>
      <t>Misma nomenclatura que las mallas de 2.° a 9.° grado (el JRC no ha publicado una traducción oficial al español de DigComp 3.0). Todas las competencias se registran en nivel Básico, como en toda la malla, con mayor autonomía y complejidad en Bachillerato. En azul: competencias usadas.</t>
    </r>
    <r>
      <rPr>
        <rFont val="Arial"/>
        <i/>
        <color rgb="FF7030A0"/>
        <sz val="9.0"/>
      </rPr>
      <t xml:space="preserve">
Actualización IA (09/10/2026): la competencia 4.4 se llama en DigComp 3.0 «Environmental impacts of digital technologies». En cada tema, la columna «Competencia digital» indica en morado el descriptor oficial (código CS) que trabaja la actividad con IA y su nivel real.</t>
    </r>
  </si>
  <si>
    <t>Unidad de la malla oficial de El Salvador (textos oficiales sin cambios; solo se renumeran según la posición de la unidad en el año)</t>
  </si>
  <si>
    <t>Unidad nueva de la base sugerida (desarrollada con los planeadores o propuesta)</t>
  </si>
  <si>
    <t>Contenido nuevo: contenido, subcontenidos, procedimental e indicador redactados para esta malla</t>
  </si>
  <si>
    <t>Microhabilidades PISA 2025 por fase (E = explicar, D = diseñar e interpretar, I = usar información)</t>
  </si>
  <si>
    <t>Habilidad del siglo XXI: una por tema, en una fase de la secuencia</t>
  </si>
  <si>
    <t>Habilidad transversal: una por tema, dentro de una actividad existente</t>
  </si>
  <si>
    <t>Texto en morado: intervención de IA (09/10/2026; reaplicada el 12/10/2026 sobre la versión editada). Cada subcontenido tiene una actividad con IA en «Actividad digital», pensada para que el estudiante la realice solo o en pareja, con herramienta, medio, evidencia y enlaces explícitos. En «Competencia digital» se indica el descriptor DigComp 3.0 que trabaja y su nivel real. Herramientas, enlaces y reglas: hoja «Herramientas IA».</t>
  </si>
  <si>
    <t>Ajuste al análisis TIMSS-PISA</t>
  </si>
  <si>
    <t>Ajuste al «Analisis_Malla_Ciencias - PISA y TIMMS» (versión 3, 2 de octubre de 2026): la habilidad TIMSS tenía Razonar inflado y muy poco Conocer frente a la referencia TIMSS Advanced (30/40/30) para Física. Se reescribieron las etiquetas según lo que pide cada tema. 10.°: Conocer 6.7 → 28.4 %, Aplicar 45.2 → 44.1 %, Razonar 48.1 → 27.5 %. 11.°: 9.9 → 31.5 %, 43.5 → 42.1 %, 46.6 → 26.4 %. 130 etiquetas reescritas. No cambió ningún contenido.</t>
  </si>
  <si>
    <t>Base curricular</t>
  </si>
  <si>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</si>
  <si>
    <t>Estructura</t>
  </si>
  <si>
    <t>Una hoja por año, con las unidades en el orden de la base sugerida: 10.° grado tiene 16 unidades y 121 temas (1 unidades oficiales con 12 temas oficiales); 11.° grado tiene 23 unidades y 146 temas (3 unidades oficiales con 27 temas oficiales). La hoja «Mapa de unidades» resume el origen, la fuente y las superposiciones resueltas de cada unidad.</t>
  </si>
  <si>
    <t>Unidades nuevas</t>
  </si>
  <si>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</si>
  <si>
    <t>Uso de los planeadores</t>
  </si>
  <si>
    <t>Los planeadores tienen formato colombiano (estándares y DBA). Se usaron solo el tema, el desempeño y los indicadores como detalle, redactados con el estilo de la malla salvadoreña y con las erratas corregidas. No se copió ningún DBA ni estándar.</t>
  </si>
  <si>
    <t>Distribución horaria</t>
  </si>
  <si>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</si>
  <si>
    <t>Progresión con grados anteriores</t>
  </si>
  <si>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</si>
  <si>
    <t>Columnas agregadas</t>
  </si>
  <si>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</si>
  <si>
    <t>Referente TIMSS</t>
  </si>
  <si>
    <t>TIMSS evalúa 4.° y 8.° grado; en Bachillerato sus dominios cognitivos (Conocer, Aplicar, Razonar) se usan como referente de exigencia, con predominio de Aplicar y Razonar. TIMSS Advanced (Física y Matemáticas avanzadas) es el marco internacional más cercano para Física.</t>
  </si>
  <si>
    <t>Uso de IA</t>
  </si>
  <si>
    <r>
      <rPr>
        <rFont val="Arial"/>
        <color theme="1"/>
        <sz val="10.0"/>
      </rPr>
      <t>Los estudiantes no usan herramientas de IA directamente. Cuando se contrasta información, se verifica con fuentes científicas u oficiales.</t>
    </r>
    <r>
      <rPr>
        <rFont val="Arial"/>
        <color rgb="FF7030A0"/>
        <sz val="10.0"/>
      </rPr>
      <t xml:space="preserve">
Actualización IA (09/10/2026), por decisión del docente: esta nota queda reemplazada. Ahora los estudiantes sí usan IA y cada subcontenido tiene una actividad con IA pensada para que el estudiante la realice solo o en pareja (la directriz para el docente se elaborará después). Dejan evidencia en la ficha del cuaderno y en su registro de uso de IA; en los trabajos agregan la declaración de uso de IA («Así usé la IA: … · Lo que revisé yo: …»). Herramientas gratuitas usadas: NotebookLM (Gemini Notebook), Gemini (Google), Teachable Machine (Google), Climate TRACE, Google Flood Hub, Pl@ntNet, Global Nature Watch (antes Global Forest Watch). Gemini y NotebookLM se usan con la cuenta institucional (Google Workspace for Education); las demás no piden cuenta. Reglas: primero pienso, predigo o mido y después consulto la IA; compruebo lo que dice con mis datos, un simulador o una fuente oficial; rotulo lo hecho con IA; nunca escribo nombres, fotos de rostros ni datos de salud o genéticos; la IA no diagnostica ni decide qué mezclar, comer, tocar ni qué hacer en una emergencia; la uso con propósito porque gasta energía y agua. Sin internet: la ficha trae impresa la respuesta de la IA; BirdNET y Pl@ntNet funcionan sin conexión. Detalle en la hoja «Herramientas IA».</t>
    </r>
  </si>
  <si>
    <t>Consumo y seguridad</t>
  </si>
  <si>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</si>
  <si>
    <t>Datos personales</t>
  </si>
  <si>
    <t>No se recogen datos personales de salud, genéticos ni de medidas corporales con nombre. Se usan datos publicados, simulados o anónimos, con participación voluntaria.</t>
  </si>
  <si>
    <t>Conectividad</t>
  </si>
  <si>
    <t>Requieren conexión o descarga previa: simuladores PhET, GeoGebra, Tracker, bases de datos científicas y portales oficiales (MARN, SNET, MINSAL). phyphox y las hojas de cálculo funcionan sin conexión.</t>
  </si>
  <si>
    <t>Ubicación de unidades oficiales</t>
  </si>
  <si>
    <t>«Óptica» (oficial de 10.°) queda en 10.°. «Electromagnetismo» (oficial de 10.°) pasa a 11.°, como indica la base sugerida, junto a las unidades de electricidad y magnetismo del planeador que la preceden. «Ciencias del espacio» e «Introducción a la física moderna» (oficiales de 11.°) quedan en 11.°. La malla oficial escribe «Eletromagnetismo»: el nombre de la unidad se corrige; los textos oficiales no se tocan.</t>
  </si>
  <si>
    <t>Superposiciones resueltas (10.°)</t>
  </si>
  <si>
    <t>Unidades de medida y análisis dimensional: en Física («Unidades y conceptos matemáticos»); Química trabaja notación científica, precisión y cifras significativas. Ciclo de indagación: Física lo enfoca en variables, gráficas, linealización y modelos; Química, en el método científico y la medición de laboratorio. «Los gases ideales» conserva solo la ley del gas ideal y la teoría cinética (planeador 13.2 y 13.3): el mol va en Química y la difusión en Química «Los gases». «Termodinámica» no incluye termoquímica (entalpía, energía de Gibbs), que va en Química.</t>
  </si>
  <si>
    <t>Superposiciones resueltas (11.°)</t>
  </si>
  <si>
    <t>Óptica: como la unidad oficial de 10.° ya cubre la ley de reflexión, Snell, reflexión interna total, dispersión e interferencia, difracción y polarización cualitativas, en 11.° se excluyeron los temas 11.2, 12.1–12.3, 12.5 y 13.1 del planeador; «Reflexión», «Refracción» y «Naturaleza ondulatoria» formalizan con ecuaciones (espejos, lentes, instrumentos, Young, redes). «Ondas electromagnéticas» excluye espectro, propiedades y energía (oficiales 2.4–2.6 de Electromagnetismo) y agrega una fila propuesta sobre radiación no ionizante y salud. La inducción electromagnética del planeador (unidad 8) se considera cubierta por los indicadores oficiales 2.1–2.3; los transformadores (8.9) pasan a «Circuitos de corriente alterna». «La luz» reúne la velocidad de la luz y la naturaleza cuántica (planeador unidad 15), que no está en la malla oficial.</t>
  </si>
  <si>
    <t>Física moderna y nuclear</t>
  </si>
  <si>
    <t>«Relatividad» excluye 14.1 y 14.4 (oficiales 2.2 y 2.3) y debe impartirse antes de la unidad oficial. «Física nuclear» y «Física radiactiva» excluyen efectos biológicos, fisión, fusión y reactores (oficiales 2.4–2.9); las series de desintegración (16.8) pasan a Química 11.° «Reacciones nucleares». Cosmología (17.7) trata la nucleosíntesis primordial y la ley de Hubble.</t>
  </si>
  <si>
    <t>Unidades con pocos temas</t>
  </si>
  <si>
    <t>«Los gases ideales» (2 temas), «Elasticidad» (3, con una fila propuesta sobre materiales de construcción y diseño sismorresistente) y «Ondas electromagnéticas» (3) quedaron cortas al eliminar duplicados; pueden fusionarse con la unidad vecina si se prefiere.</t>
  </si>
  <si>
    <t>Coordinación con Biología</t>
  </si>
  <si>
    <t>«Mecánica de fluidos» de 10.° usa contextos técnicos (redes de agua, riego, Venturi, alas). La aplicación a los seres vivos (presión arterial, flujo sanguíneo, savia, respiración) está en Biología 11.° «Mecánica de fluidos en los seres vivos».</t>
  </si>
  <si>
    <t>Decisiones puntuales</t>
  </si>
  <si>
    <t>4.4: el planeador dice «tercera ley», pero el tema es la naturaleza vectorial de la segunda ley. 5.6 y 6.7: se reemplazaron los contextos fisiológicos del planeador por peso aparente (ascensor con phyphox) y por potencia de motores y bombas. 14.8 del planeador traía un indicador ajeno al tema («sólido rígido en equilibrio»), que se omitió. Láser: solo punteros de baja potencia, nunca hacia los ojos; el concentrador solar lo prueba la docente.</t>
  </si>
  <si>
    <t>Herramientas de IA para Ciencias — Física de Bachillerato (10.° y 11.°) — gratuitas (09/10/2026; reaplicada el 12/10/2026)</t>
  </si>
  <si>
    <t>Hoja nueva: todo su contenido es parte de la intervención de IA. Las actividades están pensadas para que el estudiante las realice solo o en pareja; la directriz para el docente se elaborará después. Las condiciones de cada herramienta se revisaron el 09/10/2026 en sus sitios oficiales y pueden cambiar.</t>
  </si>
  <si>
    <t>1. CÓMO USO LA IA (reglas para el estudiante)</t>
  </si>
  <si>
    <t>1</t>
  </si>
  <si>
    <t>Primero pienso, predigo o mido; después consulto la IA. La IA propone y la evidencia decide.</t>
  </si>
  <si>
    <t>2</t>
  </si>
  <si>
    <t>Todo lo que dice la IA lo compruebo con mis datos, un simulador o fuentes oficiales (MARN, Observatorio de Amenazas, ANDA, Protección Civil, MINSAL, CENTA). La IA puede equivocarse aunque suene segura.</t>
  </si>
  <si>
    <t>3</t>
  </si>
  <si>
    <t>Lo hecho con IA lo rotulo «Respuesta de IA» o «hecho con IA» y lo declaro en mis trabajos.</t>
  </si>
  <si>
    <t>4</t>
  </si>
  <si>
    <t>Nunca escribo en la IA nombres, fotos de rostros, datos de salud ni datos genéticos de nadie. No subo fotos de personas.</t>
  </si>
  <si>
    <t>5</t>
  </si>
  <si>
    <t>La IA no diagnostica, no da consejos de salud y no decide qué se puede comer, beber, mezclar o tocar, ni qué hacer en una emergencia.</t>
  </si>
  <si>
    <t>6</t>
  </si>
  <si>
    <t>La IA gasta energía y agua en grandes centros de datos: la uso con un propósito claro.</t>
  </si>
  <si>
    <t>7</t>
  </si>
  <si>
    <t>Si no hay internet, uso la respuesta de IA impresa en mi ficha. BirdNET y Pl@ntNet funcionan sin conexión.</t>
  </si>
  <si>
    <t>2. CÓMO DEJO EVIDENCIA</t>
  </si>
  <si>
    <t>Formato</t>
  </si>
  <si>
    <t>Cómo se llena</t>
  </si>
  <si>
    <t>Ficha «Yo pienso · La IA dice · Lo comprobé» (cuaderno)</t>
  </si>
  <si>
    <t>Yo pienso: mi idea, predicción, medición o cálculo antes de consultar. La IA dice: la respuesta rotulada «Respuesta de IA», con la herramienta y la fecha. Lo comprobé: con qué dato, simulador o fuente la verifiqué y mi conclusión.</t>
  </si>
  <si>
    <t>Registro de uso de IA (última página del cuaderno)</t>
  </si>
  <si>
    <t>Una línea por uso: fecha · tema · herramienta · qué le pregunté · para qué · cómo lo comprobé · dónde está la evidencia.</t>
  </si>
  <si>
    <t>Declaración de uso de IA en mis trabajos</t>
  </si>
  <si>
    <t>Todo informe, cartel o presentación que usó IA lleva un recuadro: «Así usé la IA: … · Lo que revisé yo: …».</t>
  </si>
  <si>
    <t>3. HERRAMIENTAS Y ENLACES</t>
  </si>
  <si>
    <t>Herramienta</t>
  </si>
  <si>
    <t>Quién la usa</t>
  </si>
  <si>
    <t>Costo y cuenta</t>
  </si>
  <si>
    <t>Edad según sus condiciones</t>
  </si>
  <si>
    <t>Internet</t>
  </si>
  <si>
    <t>Para qué la usamos</t>
  </si>
  <si>
    <t>Temas de la malla</t>
  </si>
  <si>
    <t>Enlace oficial</t>
  </si>
  <si>
    <t>NotebookLM (Gemini Notebook)</t>
  </si>
  <si>
    <t>El estudiante</t>
  </si>
  <si>
    <t>Gratis; cuenta institucional</t>
  </si>
  <si>
    <t>Todas las edades con la cuenta institucional; 13 años o más con cuenta personal</t>
  </si>
  <si>
    <t>Sí</t>
  </si>
  <si>
    <t>agente que responde solo con las fuentes de la unidad</t>
  </si>
  <si>
    <t>10.° 1.1, 10.° 2.3, 10.° 2.4, 10.° 3.1, 10.° 3.4, 10.° 4.4 … (66 en total)</t>
  </si>
  <si>
    <t>Gemini (Google)</t>
  </si>
  <si>
    <t>Todas las edades con la cuenta institucional (Google Workspace for Education); 13 años o más con cuenta personal</t>
  </si>
  <si>
    <t>asistente conversacional</t>
  </si>
  <si>
    <t>10.° 1.2, 10.° 1.4, 10.° 2.2, 10.° 3.2, 10.° 3.3, 10.° 3.5, 10.° 3.6, 10.° 4.1, 10.° 4.2, 10.° 5.1, 10.° 5.2, 10.° 5.3, 10.° 6.3, 10.° 6.5, 10.° 6.6, 11.° 1.1 … (54 en total)</t>
  </si>
  <si>
    <t>Teachable Machine (Google)</t>
  </si>
  <si>
    <t>Gratis; sin cuenta</t>
  </si>
  <si>
    <t>No indicada; usar en computadora con Chrome</t>
  </si>
  <si>
    <t>entrenar un modelo de IA con imágenes, sonidos o posturas</t>
  </si>
  <si>
    <t>10.° 2.1, 10.° 3.7, 11.° 3.1, 11.° 4.1, 11.° 4.5, 11.° 5.6, 11.° 5.7, 11.° 6.3, 11.° 7.2, 11.° 11.4</t>
  </si>
  <si>
    <t>Climate TRACE</t>
  </si>
  <si>
    <t>No indicada; sin cuenta</t>
  </si>
  <si>
    <t>emisiones estimadas con satélites e IA</t>
  </si>
  <si>
    <t>10.° 4.3, 10.° 7.2, 11.° 9.4, 11.° 23.8</t>
  </si>
  <si>
    <t>Google Flood Hub</t>
  </si>
  <si>
    <t>pronóstico de inundaciones con IA</t>
  </si>
  <si>
    <t>10.° 1.3, 11.° 12.2</t>
  </si>
  <si>
    <t>Pl@ntNet</t>
  </si>
  <si>
    <t>Gratis</t>
  </si>
  <si>
    <t>Todo público</t>
  </si>
  <si>
    <t>Funciona sin internet</t>
  </si>
  <si>
    <t>reconoce plantas por foto</t>
  </si>
  <si>
    <t>10.° 7.4</t>
  </si>
  <si>
    <t>Global Nature Watch (antes Global Forest Watch)</t>
  </si>
  <si>
    <t>No indicada</t>
  </si>
  <si>
    <t>mapas satelitales de bosques analizados con IA</t>
  </si>
  <si>
    <t>11.° 12.4</t>
  </si>
  <si>
    <t>Simuladores PhET (no son IA)</t>
  </si>
  <si>
    <t>Gratis; sin cuenta; en español</t>
  </si>
  <si>
    <t>—</t>
  </si>
  <si>
    <t>Se pueden descargar</t>
  </si>
  <si>
    <t>Comprobar con un modelo lo que dice la IA; enlace exacto en cada tema</t>
  </si>
  <si>
    <t>10.° 1.1, 10.° 1.2, 10.° 2.3, 10.° 2.4, 10.° 3.2, 10.° 3.3, 10.° 3.6, 10.° 4.2, 10.° 4.4, 10.° 5.1, 10.° 5.2, 10.° 6.4 … (126 en total)</t>
  </si>
  <si>
    <t>Grok (xAI) — solo si la escuela tiene acceso por el programa nacional</t>
  </si>
  <si>
    <t>Opcional</t>
  </si>
  <si>
    <t>Acceso por el convenio Gobierno de El Salvador–xAI (11-dic-2025)</t>
  </si>
  <si>
    <t>13 años o más; de 13 a 17 con permiso de madre, padre o tutor</t>
  </si>
  <si>
    <t>Opcional; siempre con Gemini como alternativa gratuita</t>
  </si>
  <si>
    <t>Microsoft Copilot</t>
  </si>
  <si>
    <t>Alternativa a Gemini</t>
  </si>
  <si>
    <t>Gratis con cuenta Microsoft</t>
  </si>
  <si>
    <t>13 años o más</t>
  </si>
  <si>
    <t>Alternativa cuando no se pueda usar Gemini</t>
  </si>
  <si>
    <t>4. ENLACES DE REFUERZO USADOS EN ESTA MALLA</t>
  </si>
  <si>
    <t>ANDA</t>
  </si>
  <si>
    <t>CEL: centrales hidroeléctricas de El Salvador</t>
  </si>
  <si>
    <t>CENTA</t>
  </si>
  <si>
    <t>Observatorio de Amenazas (MARN): pronóstico, calidad del aire, hidrología</t>
  </si>
  <si>
    <t>Global Nature Watch: bosques de El Salvador</t>
  </si>
  <si>
    <t>MARN</t>
  </si>
  <si>
    <t>MINSAL</t>
  </si>
  <si>
    <t>PhET «Construye un átomo»</t>
  </si>
  <si>
    <t>PhET «Cargas y campos»</t>
  </si>
  <si>
    <t>PhET «Kit de construcción de circuitos: CD»</t>
  </si>
  <si>
    <t>PhET «Laboratorio de colisiones»</t>
  </si>
  <si>
    <t>PhET «Ley de Coulomb»</t>
  </si>
  <si>
    <t>PhET «Densidad»</t>
  </si>
  <si>
    <t>PhET «Difusión»</t>
  </si>
  <si>
    <t>PhET «Estados de la materia: Intro»</t>
  </si>
  <si>
    <t>PhET «Ley de Faraday»</t>
  </si>
  <si>
    <t>PhET «Flotabilidad: Intro»</t>
  </si>
  <si>
    <t>PhET «Fuerzas y movimiento: Intro»</t>
  </si>
  <si>
    <t>PhET «Efecto invernadero»</t>
  </si>
  <si>
    <t>PhET «Propiedades de los gases»</t>
  </si>
  <si>
    <t>PhET «Gravedad y órbitas»</t>
  </si>
  <si>
    <t>PhET «Imanes y electroimanes»</t>
  </si>
  <si>
    <t>PhET «Isótopos y masa atómica»</t>
  </si>
  <si>
    <t>PhET «Leyes de Kepler»</t>
  </si>
  <si>
    <t>PhET «Ley de equilibrio» (balanza)</t>
  </si>
  <si>
    <t>PhET «Reflexión y refracción de la luz»</t>
  </si>
  <si>
    <t>PhET «Ley de Ohm»</t>
  </si>
  <si>
    <t>PhET «Onda en una cuerda»</t>
  </si>
  <si>
    <t>PhET «Ondas: Intro» (agua, sonido y luz)</t>
  </si>
  <si>
    <t>PhET «Óptica geométrica»</t>
  </si>
  <si>
    <t>PhET «Lab de péndulo»</t>
  </si>
  <si>
    <t>PhET «Bajo presión»</t>
  </si>
  <si>
    <t>PhET «Movimiento de un proyectil»</t>
  </si>
  <si>
    <t>PhET «Masas y resortes»</t>
  </si>
  <si>
    <t>PhET «Energía en la pista de patinaje: Intro»</t>
  </si>
  <si>
    <t>Protección Civil</t>
  </si>
  <si>
    <t>5. ASISTENTES LISTOS PARA USAR (se copia al inicio de la conversación)</t>
  </si>
  <si>
    <t>Asistente</t>
  </si>
  <si>
    <t>Para qué</t>
  </si>
  <si>
    <t>Dónde</t>
  </si>
  <si>
    <t>Instrucciones para copiar</t>
  </si>
  <si>
    <t>Tutor que pregunta</t>
  </si>
  <si>
    <t>Guiarme sin darme la respuesta</t>
  </si>
  <si>
    <t>Gemini con la cuenta institucional</t>
  </si>
  <si>
    <t>Actúa como tutor de Ciencias para un estudiante de 15–17 años (Bachillerato) de El Salvador. Nunca des la respuesta directa. Haz una pregunta a la vez, parte de lo que observé o medí y espera mi respuesta. Si hay un error, pregúntame algo que me ayude a verlo. No pidas datos personales. Si pregunto qué comer, mezclar o tocar, o qué hacer en una emergencia, dime que siga mi guía y las fuentes oficiales.</t>
  </si>
  <si>
    <t>Cuaderno de la unidad</t>
  </si>
  <si>
    <t>Responder dudas solo con las fuentes de la unidad</t>
  </si>
  <si>
    <t>NotebookLM: se abre desde el enlace de la ficha</t>
  </si>
  <si>
    <t>Eres el asistente de Ciencias de Física de Bachillerato (10.° y 11.°) de una escuela pública de El Salvador. Responde solo con la información de las fuentes cargadas y cita la fuente. Si algo no está en las fuentes, dilo. Usa español claro y ejemplos de El Salvador. No des diagnósticos médicos ni indicaciones para manipular o mezclar sustancias.</t>
  </si>
  <si>
    <t>Compañero que se equivoca</t>
  </si>
  <si>
    <t>Defender una idea equivocada para que yo la corrija con evidencia</t>
  </si>
  <si>
    <t>Responde como un estudiante que cree esta idea equivocada: [escribir la idea]. Defiéndela con argumentos de la vida diaria. Solo cambia de opinión si te muestro evidencia de un experimento, un simulador o una fuente oficial; entonces explica qué aprendiste.</t>
  </si>
  <si>
    <t>6. FUENTES</t>
  </si>
  <si>
    <t>Cachia, R. y Cosgrove, J. (2025). DigComp 3.0: European Digital Competence Framework, 5.ª ed. Comisión Europea, JRC144121. https://publications.jrc.ec.europa.eu/repository/handle/JRC144121</t>
  </si>
  <si>
    <t>MINEDUCYT. Matriz curricular de Inteligencia Artificial 7.° a 11.° (basada en UNESCO, 2024). Competencias trabajadas en esta malla: AGN-03, AGN-04, TAP-02, URE-03, URE-04, URE-05.</t>
  </si>
  <si>
    <t>OCDE. Marco de Ciencias PISA 2025. https://pisa-framework.oecd.org/science-2025/</t>
  </si>
  <si>
    <t>IEA. Marcos de evaluación TIMSS 2027, cap. 2 Ciencias. https://timss2027.org/frameworks/downloads/T27_FW_Chap_2_Science.pdf</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</si>
</sst>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2.0"/>
      <color rgb="FF1F4E79"/>
      <name val="Arial"/>
    </font>
    <font>
      <b/>
      <sz val="10.0"/>
      <color rgb="FFFFFFFF"/>
      <name val="Arial"/>
    </font>
    <font>
      <sz val="11.0"/>
      <color theme="1"/>
      <name val="Calibri"/>
    </font>
    <font>
      <b/>
      <sz val="11.0"/>
      <color rgb="FFFFFFFF"/>
      <name val="Arial"/>
    </font>
    <font>
      <color theme="1"/>
      <name val="Calibri"/>
      <scheme val="minor"/>
    </font>
    <font>
      <i/>
      <sz val="10.0"/>
      <color theme="1"/>
      <name val="Arial"/>
    </font>
    <font>
      <b/>
      <sz val="10.0"/>
      <color theme="1"/>
      <name val="Arial"/>
    </font>
    <font>
      <b/>
      <sz val="9.0"/>
      <color rgb="FF000000"/>
      <name val="Arial"/>
    </font>
    <font>
      <sz val="10.0"/>
      <color theme="1"/>
      <name val="Arial"/>
    </font>
    <font/>
    <font>
      <sz val="9.0"/>
      <color theme="1"/>
      <name val="Arial"/>
    </font>
    <font>
      <b/>
      <sz val="9.0"/>
      <color theme="1"/>
      <name val="Arial"/>
    </font>
    <font>
      <b/>
      <sz val="11.0"/>
      <color theme="1"/>
      <name val="Arial"/>
    </font>
    <font>
      <sz val="11.0"/>
      <color theme="1"/>
      <name val="Arial"/>
    </font>
    <font>
      <sz val="11.0"/>
      <color rgb="FF000000"/>
      <name val="Calibri"/>
    </font>
    <font>
      <i/>
      <sz val="9.0"/>
      <color theme="1"/>
      <name val="Arial"/>
    </font>
    <font>
      <sz val="9.0"/>
      <color rgb="FF7030A0"/>
      <name val="Arial"/>
    </font>
    <font>
      <b/>
      <sz val="12.0"/>
      <color rgb="FF7030A0"/>
      <name val="Arial"/>
    </font>
    <font>
      <b/>
      <sz val="9.0"/>
      <color rgb="FF7030A0"/>
      <name val="Arial"/>
    </font>
    <font>
      <u/>
      <sz val="9.0"/>
      <color rgb="FF7030A0"/>
      <name val="Arial"/>
    </font>
  </fonts>
  <fills count="15">
    <fill>
      <patternFill patternType="none"/>
    </fill>
    <fill>
      <patternFill patternType="lightGray"/>
    </fill>
    <fill>
      <patternFill patternType="solid">
        <fgColor rgb="FF1F4E79"/>
        <bgColor rgb="FF1F4E79"/>
      </patternFill>
    </fill>
    <fill>
      <patternFill patternType="solid">
        <fgColor rgb="FFF1EDFA"/>
        <bgColor rgb="FFF1EDFA"/>
      </patternFill>
    </fill>
    <fill>
      <patternFill patternType="solid">
        <fgColor rgb="FFFFF2CC"/>
        <bgColor rgb="FFFFF2CC"/>
      </patternFill>
    </fill>
    <fill>
      <patternFill patternType="solid">
        <fgColor rgb="FF5B4A9E"/>
        <bgColor rgb="FF5B4A9E"/>
      </patternFill>
    </fill>
    <fill>
      <patternFill patternType="solid">
        <fgColor rgb="FFA9D08E"/>
        <bgColor rgb="FFA9D08E"/>
      </patternFill>
    </fill>
    <fill>
      <patternFill patternType="solid">
        <fgColor rgb="FFB7791F"/>
        <bgColor rgb="FFB7791F"/>
      </patternFill>
    </fill>
    <fill>
      <patternFill patternType="solid">
        <fgColor rgb="FF2C7A7B"/>
        <bgColor rgb="FF2C7A7B"/>
      </patternFill>
    </fill>
    <fill>
      <patternFill patternType="solid">
        <fgColor rgb="FFE2EFDA"/>
        <bgColor rgb="FFE2EFDA"/>
      </patternFill>
    </fill>
    <fill>
      <patternFill patternType="solid">
        <fgColor rgb="FFDDEBF7"/>
        <bgColor rgb="FFDDEBF7"/>
      </patternFill>
    </fill>
    <fill>
      <patternFill patternType="solid">
        <fgColor rgb="FFE2F0EF"/>
        <bgColor rgb="FFE2F0EF"/>
      </patternFill>
    </fill>
    <fill>
      <patternFill patternType="solid">
        <fgColor rgb="FFFFE699"/>
        <bgColor rgb="FFFFE699"/>
      </patternFill>
    </fill>
    <fill>
      <patternFill patternType="solid">
        <fgColor rgb="FFD9E1F2"/>
        <bgColor rgb="FFD9E1F2"/>
      </patternFill>
    </fill>
    <fill>
      <patternFill patternType="solid">
        <fgColor rgb="FFFFE599"/>
        <bgColor rgb="FFFFE599"/>
      </patternFill>
    </fill>
  </fills>
  <borders count="16">
    <border/>
    <border>
      <left style="thin">
        <color rgb="FFA6A6A6"/>
      </left>
      <right style="thin">
        <color rgb="FFA6A6A6"/>
      </right>
      <top style="thin">
        <color rgb="FFA6A6A6"/>
      </top>
    </border>
    <border>
      <left style="thin">
        <color rgb="FFA6A6A6"/>
      </left>
      <right style="thin">
        <color rgb="FFA6A6A6"/>
      </right>
      <top style="thin">
        <color rgb="FFA6A6A6"/>
      </top>
      <bottom style="thin">
        <color rgb="FFA6A6A6"/>
      </bottom>
    </border>
    <border>
      <left style="thin">
        <color rgb="FFBFBFBF"/>
      </left>
      <right style="thin">
        <color rgb="FFBFBFBF"/>
      </right>
      <top style="thin">
        <color rgb="FFBFBFBF"/>
      </top>
      <bottom style="thin">
        <color rgb="FFBFBFBF"/>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BFBFBF"/>
      </left>
      <right style="thin">
        <color rgb="FFBFBFBF"/>
      </right>
      <top style="thin">
        <color rgb="FFBFBFBF"/>
      </top>
    </border>
    <border>
      <left style="thin">
        <color rgb="FFA6A6A6"/>
      </left>
      <right style="thin">
        <color rgb="FFA6A6A6"/>
      </right>
    </border>
    <border>
      <left style="thin">
        <color rgb="FFBFBFBF"/>
      </left>
      <right style="thin">
        <color rgb="FFBFBFBF"/>
      </right>
    </border>
    <border>
      <left style="thin">
        <color rgb="FFA6A6A6"/>
      </left>
      <right style="thin">
        <color rgb="FFA6A6A6"/>
      </right>
      <bottom style="thin">
        <color rgb="FFA6A6A6"/>
      </bottom>
    </border>
    <border>
      <left style="thin">
        <color rgb="FFBFBFBF"/>
      </left>
      <right style="thin">
        <color rgb="FFBFBFBF"/>
      </right>
      <bottom style="thin">
        <color rgb="FFBFBFBF"/>
      </bottom>
    </border>
    <border>
      <left style="thin">
        <color rgb="FFBFBFBF"/>
      </left>
      <right style="thin">
        <color rgb="FFA6A6A6"/>
      </right>
      <top style="thin">
        <color rgb="FFBFBFBF"/>
      </top>
    </border>
    <border>
      <left style="thin">
        <color rgb="FFBFBFBF"/>
      </left>
      <right style="thin">
        <color rgb="FFA6A6A6"/>
      </right>
    </border>
    <border>
      <left style="thin">
        <color rgb="FFBFBFBF"/>
      </left>
      <right style="thin">
        <color rgb="FFA6A6A6"/>
      </right>
      <bottom style="thin">
        <color rgb="FFA6A6A6"/>
      </bottom>
    </border>
    <border>
      <left/>
      <right/>
      <top/>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horizontal="center"/>
    </xf>
    <xf borderId="1" fillId="2" fontId="4" numFmtId="0" xfId="0" applyAlignment="1" applyBorder="1" applyFill="1" applyFont="1">
      <alignment horizontal="center" shrinkToFit="0" vertical="center" wrapText="1"/>
    </xf>
    <xf borderId="0" fillId="0" fontId="5" numFmtId="0" xfId="0" applyAlignment="1" applyFont="1">
      <alignment horizontal="center"/>
    </xf>
    <xf borderId="0" fillId="0" fontId="6" numFmtId="0" xfId="0" applyAlignment="1" applyFont="1">
      <alignment shrinkToFit="0" vertical="top" wrapText="1"/>
    </xf>
    <xf borderId="2" fillId="2" fontId="2" numFmtId="0" xfId="0" applyAlignment="1" applyBorder="1" applyFill="1" applyFont="1">
      <alignment horizontal="center" shrinkToFit="0" vertical="center" wrapText="1"/>
    </xf>
    <xf borderId="2" fillId="3" fontId="7" numFmtId="0" xfId="0" applyAlignment="1" applyBorder="1" applyFill="1" applyFont="1">
      <alignment shrinkToFit="0" vertical="top" wrapText="1"/>
    </xf>
    <xf borderId="3" fillId="4" fontId="8" numFmtId="0" xfId="0" applyAlignment="1" applyBorder="1" applyFill="1" applyFont="1">
      <alignment horizontal="center" vertical="center"/>
    </xf>
    <xf borderId="2" fillId="0" fontId="9" numFmtId="0" xfId="0" applyAlignment="1" applyBorder="1" applyFont="1">
      <alignment shrinkToFit="0" vertical="top" wrapText="1"/>
    </xf>
    <xf borderId="4" fillId="5" fontId="4" numFmtId="0" xfId="0" applyAlignment="1" applyBorder="1" applyFill="1" applyFont="1">
      <alignment horizontal="center" shrinkToFit="0" vertical="center" wrapText="1"/>
    </xf>
    <xf borderId="2" fillId="6" fontId="9" numFmtId="0" xfId="0" applyAlignment="1" applyBorder="1" applyFill="1" applyFont="1">
      <alignment shrinkToFit="0" vertical="top" wrapText="1"/>
    </xf>
    <xf borderId="5" fillId="0" fontId="10" numFmtId="0" xfId="0" applyBorder="1" applyFont="1"/>
    <xf borderId="6" fillId="0" fontId="10" numFmtId="0" xfId="0" applyBorder="1" applyFont="1"/>
    <xf borderId="1" fillId="0" fontId="9" numFmtId="0" xfId="0" applyAlignment="1" applyBorder="1" applyFont="1">
      <alignment horizontal="center" shrinkToFit="0" vertical="center" wrapText="1"/>
    </xf>
    <xf borderId="1" fillId="7" fontId="4" numFmtId="0" xfId="0" applyAlignment="1" applyBorder="1" applyFill="1" applyFont="1">
      <alignment horizontal="center" shrinkToFit="0" vertical="center" wrapText="1"/>
    </xf>
    <xf borderId="2" fillId="0" fontId="9" numFmtId="0" xfId="0" applyAlignment="1" applyBorder="1" applyFont="1">
      <alignment horizontal="center" shrinkToFit="0" vertical="top" wrapText="1"/>
    </xf>
    <xf borderId="7" fillId="0" fontId="11" numFmtId="0" xfId="0" applyAlignment="1" applyBorder="1" applyFont="1">
      <alignment horizontal="center" shrinkToFit="0" vertical="center" wrapText="1"/>
    </xf>
    <xf borderId="8" fillId="0" fontId="10" numFmtId="0" xfId="0" applyBorder="1" applyFont="1"/>
    <xf borderId="9" fillId="0" fontId="10" numFmtId="0" xfId="0" applyBorder="1" applyFont="1"/>
    <xf borderId="1" fillId="8" fontId="4" numFmtId="0" xfId="0" applyAlignment="1" applyBorder="1" applyFill="1" applyFont="1">
      <alignment horizontal="center" shrinkToFit="0" vertical="center" wrapText="1"/>
    </xf>
    <xf borderId="10" fillId="0" fontId="10" numFmtId="0" xfId="0" applyBorder="1" applyFont="1"/>
    <xf borderId="11" fillId="0" fontId="10" numFmtId="0" xfId="0" applyBorder="1" applyFont="1"/>
    <xf borderId="2" fillId="5" fontId="4" numFmtId="0" xfId="0" applyAlignment="1" applyBorder="1" applyFill="1" applyFont="1">
      <alignment horizontal="center" shrinkToFit="0" vertical="center" wrapText="1"/>
    </xf>
    <xf borderId="2" fillId="0" fontId="7" numFmtId="0" xfId="0" applyAlignment="1" applyBorder="1" applyFont="1">
      <alignment shrinkToFit="0" vertical="top" wrapText="1"/>
    </xf>
    <xf borderId="4" fillId="0" fontId="9" numFmtId="0" xfId="0" applyAlignment="1" applyBorder="1" applyFont="1">
      <alignment shrinkToFit="0" vertical="top" wrapText="1"/>
    </xf>
    <xf borderId="1" fillId="6" fontId="12" numFmtId="0" xfId="0" applyAlignment="1" applyBorder="1" applyFill="1" applyFont="1">
      <alignment horizontal="center" shrinkToFit="0" textRotation="90" vertical="center" wrapText="1"/>
    </xf>
    <xf borderId="1" fillId="6" fontId="13" numFmtId="0" xfId="0" applyAlignment="1" applyBorder="1" applyFill="1" applyFont="1">
      <alignment horizontal="center" readingOrder="0" shrinkToFit="0" textRotation="90" vertical="center" wrapText="1"/>
    </xf>
    <xf borderId="1" fillId="9" fontId="14" numFmtId="0" xfId="0" applyAlignment="1" applyBorder="1" applyFill="1" applyFont="1">
      <alignment horizontal="center" shrinkToFit="0" vertical="center" wrapText="1"/>
    </xf>
    <xf borderId="2" fillId="9" fontId="14" numFmtId="0" xfId="0" applyAlignment="1" applyBorder="1" applyFill="1" applyFont="1">
      <alignment shrinkToFit="0" vertical="center" wrapText="1"/>
    </xf>
    <xf borderId="1" fillId="9" fontId="14" numFmtId="0" xfId="0" applyAlignment="1" applyBorder="1" applyFill="1" applyFont="1">
      <alignment readingOrder="0" shrinkToFit="0" vertical="center" wrapText="1"/>
    </xf>
    <xf borderId="2" fillId="9" fontId="14" numFmtId="0" xfId="0" applyAlignment="1" applyBorder="1" applyFill="1" applyFont="1">
      <alignment readingOrder="0" shrinkToFit="0" vertical="center" wrapText="1"/>
    </xf>
    <xf borderId="8" fillId="0" fontId="15" numFmtId="0" xfId="0" applyAlignment="1" applyBorder="1" applyFont="1">
      <alignment shrinkToFit="0" vertical="center" wrapText="1"/>
    </xf>
    <xf borderId="2" fillId="0" fontId="14" numFmtId="0" xfId="0" applyAlignment="1" applyBorder="1" applyFont="1">
      <alignment shrinkToFit="0" vertical="center" wrapText="1"/>
    </xf>
    <xf borderId="0" fillId="0" fontId="16" numFmtId="0" xfId="0" applyAlignment="1" applyFont="1">
      <alignment shrinkToFit="0" vertical="top" wrapText="1"/>
    </xf>
    <xf borderId="8" fillId="0" fontId="15" numFmtId="0" xfId="0" applyAlignment="1" applyBorder="1" applyFont="1">
      <alignment readingOrder="0" shrinkToFit="0" vertical="center" wrapText="1"/>
    </xf>
    <xf borderId="2" fillId="3" fontId="14" numFmtId="0" xfId="0" applyAlignment="1" applyBorder="1" applyFill="1" applyFont="1">
      <alignment shrinkToFit="0" vertical="center" wrapText="1"/>
    </xf>
    <xf borderId="1" fillId="0" fontId="9" numFmtId="0" xfId="0" applyAlignment="1" applyBorder="1" applyFont="1">
      <alignment horizontal="center" readingOrder="0" shrinkToFit="0" vertical="center" wrapText="1"/>
    </xf>
    <xf borderId="2" fillId="0" fontId="14" numFmtId="0" xfId="0" applyAlignment="1" applyBorder="1" applyFont="1">
      <alignment readingOrder="0" shrinkToFit="0" vertical="center" wrapText="1"/>
    </xf>
    <xf borderId="2" fillId="4" fontId="14" numFmtId="0" xfId="0" applyAlignment="1" applyBorder="1" applyFill="1" applyFont="1">
      <alignment shrinkToFit="0" vertical="center" wrapText="1"/>
    </xf>
    <xf borderId="2" fillId="3" fontId="14" numFmtId="0" xfId="0" applyAlignment="1" applyBorder="1" applyFill="1" applyFont="1">
      <alignment readingOrder="0" shrinkToFit="0" vertical="center" wrapText="1"/>
    </xf>
    <xf borderId="1" fillId="0" fontId="7" numFmtId="0" xfId="0" applyAlignment="1" applyBorder="1" applyFont="1">
      <alignment horizontal="center" shrinkToFit="0" vertical="center" wrapText="1"/>
    </xf>
    <xf borderId="2" fillId="4" fontId="14" numFmtId="0" xfId="0" applyAlignment="1" applyBorder="1" applyFill="1" applyFont="1">
      <alignment readingOrder="0" shrinkToFit="0" vertical="center" wrapText="1"/>
    </xf>
    <xf borderId="2" fillId="10" fontId="11" numFmtId="0" xfId="0" applyAlignment="1" applyBorder="1" applyFill="1" applyFont="1">
      <alignment shrinkToFit="0" vertical="center" wrapText="1"/>
    </xf>
    <xf borderId="2" fillId="11" fontId="14" numFmtId="0" xfId="0" applyAlignment="1" applyBorder="1" applyFill="1" applyFont="1">
      <alignment shrinkToFit="0" vertical="center" wrapText="1"/>
    </xf>
    <xf borderId="2" fillId="10" fontId="14" numFmtId="0" xfId="0" applyAlignment="1" applyBorder="1" applyFill="1" applyFont="1">
      <alignment readingOrder="0" shrinkToFit="0" vertical="center" wrapText="1"/>
    </xf>
    <xf borderId="2" fillId="11" fontId="14" numFmtId="0" xfId="0" applyAlignment="1" applyBorder="1" applyFill="1" applyFont="1">
      <alignment readingOrder="0" shrinkToFit="0" vertical="center" wrapText="1"/>
    </xf>
    <xf borderId="1" fillId="0" fontId="14" numFmtId="0" xfId="0" applyAlignment="1" applyBorder="1" applyFont="1">
      <alignment readingOrder="0" shrinkToFit="0" vertical="center" wrapText="1"/>
    </xf>
    <xf borderId="8" fillId="0" fontId="9" numFmtId="0" xfId="0" applyAlignment="1" applyBorder="1" applyFont="1">
      <alignment horizontal="center" shrinkToFit="0" vertical="center" wrapText="1"/>
    </xf>
    <xf borderId="1" fillId="9" fontId="11" numFmtId="0" xfId="0" applyAlignment="1" applyBorder="1" applyFill="1" applyFont="1">
      <alignment shrinkToFit="0" vertical="center" wrapText="1"/>
    </xf>
    <xf borderId="2" fillId="9" fontId="11" numFmtId="0" xfId="0" applyAlignment="1" applyBorder="1" applyFill="1" applyFont="1">
      <alignment shrinkToFit="0" vertical="center" wrapText="1"/>
    </xf>
    <xf borderId="2" fillId="0" fontId="11" numFmtId="0" xfId="0" applyAlignment="1" applyBorder="1" applyFont="1">
      <alignment shrinkToFit="0" vertical="center" wrapText="1"/>
    </xf>
    <xf borderId="2" fillId="3" fontId="11" numFmtId="0" xfId="0" applyAlignment="1" applyBorder="1" applyFill="1" applyFont="1">
      <alignment shrinkToFit="0" vertical="center" wrapText="1"/>
    </xf>
    <xf borderId="2" fillId="4" fontId="11" numFmtId="0" xfId="0" applyAlignment="1" applyBorder="1" applyFill="1" applyFont="1">
      <alignment shrinkToFit="0" vertical="center" wrapText="1"/>
    </xf>
    <xf borderId="2" fillId="9" fontId="11" numFmtId="0" xfId="0" applyAlignment="1" applyBorder="1" applyFill="1" applyFont="1">
      <alignment readingOrder="0" shrinkToFit="0" vertical="center" wrapText="1"/>
    </xf>
    <xf borderId="1" fillId="6" fontId="12" numFmtId="0" xfId="0" applyAlignment="1" applyBorder="1" applyFill="1" applyFont="1">
      <alignment horizontal="center" readingOrder="0" shrinkToFit="0" textRotation="90" vertical="center" wrapText="1"/>
    </xf>
    <xf borderId="1" fillId="9" fontId="11" numFmtId="0" xfId="0" applyAlignment="1" applyBorder="1" applyFill="1" applyFont="1">
      <alignment readingOrder="0" shrinkToFit="0" vertical="center" wrapText="1"/>
    </xf>
    <xf borderId="2" fillId="12" fontId="9" numFmtId="0" xfId="0" applyAlignment="1" applyBorder="1" applyFill="1" applyFont="1">
      <alignment shrinkToFit="0" vertical="top" wrapText="1"/>
    </xf>
    <xf borderId="2" fillId="0" fontId="11" numFmtId="0" xfId="0" applyAlignment="1" applyBorder="1" applyFont="1">
      <alignment readingOrder="0" shrinkToFit="0" vertical="center" wrapText="1"/>
    </xf>
    <xf borderId="2" fillId="3" fontId="11" numFmtId="0" xfId="0" applyAlignment="1" applyBorder="1" applyFill="1" applyFont="1">
      <alignment readingOrder="0" shrinkToFit="0" vertical="center" wrapText="1"/>
    </xf>
    <xf borderId="2" fillId="0" fontId="9" numFmtId="0" xfId="0" applyAlignment="1" applyBorder="1" applyFont="1">
      <alignment readingOrder="0" shrinkToFit="0" vertical="top" wrapText="1"/>
    </xf>
    <xf borderId="2" fillId="4" fontId="11" numFmtId="0" xfId="0" applyAlignment="1" applyBorder="1" applyFill="1" applyFont="1">
      <alignment readingOrder="0" shrinkToFit="0" vertical="center" wrapText="1"/>
    </xf>
    <xf borderId="1" fillId="0" fontId="9" numFmtId="0" xfId="0" applyAlignment="1" applyBorder="1" applyFont="1">
      <alignment shrinkToFit="0" vertical="center" wrapText="1"/>
    </xf>
    <xf borderId="2" fillId="10" fontId="11" numFmtId="0" xfId="0" applyAlignment="1" applyBorder="1" applyFill="1" applyFont="1">
      <alignment readingOrder="0" shrinkToFit="0" vertical="center" wrapText="1"/>
    </xf>
    <xf borderId="2" fillId="11" fontId="11" numFmtId="0" xfId="0" applyAlignment="1" applyBorder="1" applyFill="1" applyFont="1">
      <alignment readingOrder="0" shrinkToFit="0" vertical="center" wrapText="1"/>
    </xf>
    <xf borderId="2" fillId="13" fontId="7" numFmtId="0" xfId="0" applyAlignment="1" applyBorder="1" applyFill="1" applyFont="1">
      <alignment shrinkToFit="0" vertical="top" wrapText="1"/>
    </xf>
    <xf borderId="2" fillId="0" fontId="7" numFmtId="0" xfId="0" applyAlignment="1" applyBorder="1" applyFont="1">
      <alignment horizontal="center" shrinkToFit="0" vertical="top" wrapText="1"/>
    </xf>
    <xf borderId="12" fillId="0" fontId="11" numFmtId="0" xfId="0" applyAlignment="1" applyBorder="1" applyFont="1">
      <alignment horizontal="center" vertical="center"/>
    </xf>
    <xf borderId="13" fillId="0" fontId="10" numFmtId="0" xfId="0" applyBorder="1" applyFont="1"/>
    <xf borderId="0" fillId="0" fontId="9" numFmtId="0" xfId="0" applyAlignment="1" applyFont="1">
      <alignment shrinkToFit="0" vertical="top" wrapText="1"/>
    </xf>
    <xf borderId="14" fillId="0" fontId="10" numFmtId="0" xfId="0" applyBorder="1" applyFont="1"/>
    <xf borderId="0" fillId="0" fontId="3" numFmtId="0" xfId="0" applyFont="1"/>
    <xf borderId="2" fillId="7" fontId="2" numFmtId="0" xfId="0" applyAlignment="1" applyBorder="1" applyFill="1" applyFont="1">
      <alignment horizontal="center" shrinkToFit="0" vertical="center" wrapText="1"/>
    </xf>
    <xf borderId="2" fillId="4" fontId="7" numFmtId="0" xfId="0" applyAlignment="1" applyBorder="1" applyFill="1" applyFont="1">
      <alignment shrinkToFit="0" vertical="top" wrapText="1"/>
    </xf>
    <xf borderId="2" fillId="8" fontId="2" numFmtId="0" xfId="0" applyAlignment="1" applyBorder="1" applyFill="1" applyFont="1">
      <alignment horizontal="center" shrinkToFit="0" vertical="center" wrapText="1"/>
    </xf>
    <xf borderId="2" fillId="11" fontId="7" numFmtId="0" xfId="0" applyAlignment="1" applyBorder="1" applyFill="1" applyFont="1">
      <alignment shrinkToFit="0" vertical="top" wrapText="1"/>
    </xf>
    <xf borderId="1" fillId="0" fontId="11" numFmtId="0" xfId="0" applyAlignment="1" applyBorder="1" applyFont="1">
      <alignment readingOrder="0" shrinkToFit="0" vertical="center" wrapText="1"/>
    </xf>
    <xf borderId="2" fillId="0" fontId="12" numFmtId="0" xfId="0" applyAlignment="1" applyBorder="1" applyFont="1">
      <alignment readingOrder="0" shrinkToFit="0" vertical="center" wrapText="1"/>
    </xf>
    <xf borderId="1" fillId="14" fontId="12" numFmtId="0" xfId="0" applyAlignment="1" applyBorder="1" applyFill="1" applyFont="1">
      <alignment horizontal="center" shrinkToFit="0" textRotation="90" vertical="center" wrapText="1"/>
    </xf>
    <xf borderId="1" fillId="0" fontId="11" numFmtId="0" xfId="0" applyAlignment="1" applyBorder="1" applyFont="1">
      <alignment shrinkToFit="0" vertical="center" wrapText="1"/>
    </xf>
    <xf borderId="2" fillId="10" fontId="7" numFmtId="0" xfId="0" applyAlignment="1" applyBorder="1" applyFill="1" applyFont="1">
      <alignment shrinkToFit="0" vertical="top" wrapText="1"/>
    </xf>
    <xf borderId="2" fillId="10" fontId="9" numFmtId="0" xfId="0" applyAlignment="1" applyBorder="1" applyFill="1" applyFont="1">
      <alignment shrinkToFit="0" vertical="top" wrapText="1"/>
    </xf>
    <xf borderId="1" fillId="14" fontId="12" numFmtId="0" xfId="0" applyAlignment="1" applyBorder="1" applyFill="1" applyFont="1">
      <alignment horizontal="center" readingOrder="0" shrinkToFit="0" textRotation="90" vertical="center" wrapText="1"/>
    </xf>
    <xf borderId="0" fillId="0" fontId="12" numFmtId="0" xfId="0" applyFont="1"/>
    <xf borderId="0" fillId="0" fontId="0" numFmtId="0" xfId="0" applyFont="1"/>
    <xf borderId="15" fillId="12" fontId="3" numFmtId="0" xfId="0" applyBorder="1" applyFill="1" applyFont="1"/>
    <xf borderId="0" fillId="0" fontId="11" numFmtId="0" xfId="0" applyFont="1"/>
    <xf borderId="15" fillId="6" fontId="3" numFmtId="0" xfId="0" applyBorder="1" applyFill="1" applyFont="1"/>
    <xf borderId="15" fillId="9" fontId="3" numFmtId="0" xfId="0" applyBorder="1" applyFill="1" applyFont="1"/>
    <xf borderId="15" fillId="3" fontId="3" numFmtId="0" xfId="0" applyBorder="1" applyFill="1" applyFont="1"/>
    <xf borderId="15" fillId="4" fontId="3" numFmtId="0" xfId="0" applyBorder="1" applyFill="1" applyFont="1"/>
    <xf borderId="15" fillId="10" fontId="3" numFmtId="0" xfId="0" applyBorder="1" applyFill="1" applyFont="1"/>
    <xf borderId="15" fillId="11" fontId="3" numFmtId="0" xfId="0" applyBorder="1" applyFill="1" applyFont="1"/>
    <xf borderId="0" fillId="0" fontId="17" numFmtId="0" xfId="0" applyAlignment="1" applyFont="1">
      <alignment vertical="top"/>
    </xf>
    <xf borderId="0" fillId="0" fontId="18" numFmtId="0" xfId="0" applyFont="1"/>
    <xf borderId="0" fillId="0" fontId="17" numFmtId="0" xfId="0" applyAlignment="1" applyFont="1">
      <alignment shrinkToFit="0" vertical="top" wrapText="1"/>
    </xf>
    <xf borderId="0" fillId="0" fontId="19" numFmtId="0" xfId="0" applyAlignment="1" applyFont="1">
      <alignment shrinkToFit="0" vertical="top" wrapText="1"/>
    </xf>
    <xf borderId="0" fillId="0" fontId="2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5.43"/>
    <col customWidth="1" min="3" max="3" width="17.57"/>
    <col customWidth="1" min="4" max="4" width="15.0"/>
    <col customWidth="1" min="5" max="5" width="8.0"/>
    <col customWidth="1" min="6" max="6" width="38.0"/>
    <col customWidth="1" min="7" max="7" width="17.57"/>
    <col customWidth="1" min="8" max="8" width="6.57"/>
    <col customWidth="1" min="9" max="9" width="66.0"/>
    <col customWidth="1" min="10" max="10" width="35.71"/>
    <col customWidth="1" min="11" max="26" width="8.71"/>
  </cols>
  <sheetData>
    <row r="1">
      <c r="A1" s="1" t="s">
        <v>0</v>
      </c>
      <c r="H1" s="3"/>
      <c r="J1" s="5"/>
    </row>
    <row r="2" ht="31.5" customHeight="1">
      <c r="A2" s="6" t="s">
        <v>3</v>
      </c>
      <c r="J2" s="5"/>
    </row>
    <row r="3" ht="31.5" customHeight="1">
      <c r="A3" s="7" t="s">
        <v>6</v>
      </c>
      <c r="B3" s="7" t="s">
        <v>9</v>
      </c>
      <c r="C3" s="7" t="s">
        <v>2</v>
      </c>
      <c r="D3" s="7" t="s">
        <v>13</v>
      </c>
      <c r="E3" s="7" t="s">
        <v>15</v>
      </c>
      <c r="F3" s="7" t="s">
        <v>15</v>
      </c>
      <c r="G3" s="7" t="s">
        <v>17</v>
      </c>
      <c r="H3" s="7" t="s">
        <v>18</v>
      </c>
      <c r="I3" s="7" t="s">
        <v>20</v>
      </c>
      <c r="J3" s="9" t="s">
        <v>21</v>
      </c>
    </row>
    <row r="4" ht="16.5" customHeight="1">
      <c r="A4" s="12" t="s">
        <v>25</v>
      </c>
      <c r="B4" s="15">
        <v>1.0</v>
      </c>
      <c r="C4" s="15" t="s">
        <v>41</v>
      </c>
      <c r="D4" s="15" t="s">
        <v>46</v>
      </c>
      <c r="E4" s="15">
        <v>4.0</v>
      </c>
      <c r="F4" s="10" t="s">
        <v>57</v>
      </c>
      <c r="G4" s="10" t="s">
        <v>58</v>
      </c>
      <c r="H4" s="17">
        <v>2.0</v>
      </c>
      <c r="I4" s="10" t="s">
        <v>65</v>
      </c>
      <c r="J4" s="18" t="s">
        <v>68</v>
      </c>
    </row>
    <row r="5" ht="16.5" customHeight="1">
      <c r="A5" s="12" t="s">
        <v>25</v>
      </c>
      <c r="B5" s="19"/>
      <c r="C5" s="19"/>
      <c r="D5" s="19"/>
      <c r="E5" s="19"/>
      <c r="F5" s="10" t="s">
        <v>81</v>
      </c>
      <c r="G5" s="10" t="s">
        <v>58</v>
      </c>
      <c r="H5" s="17">
        <v>2.0</v>
      </c>
      <c r="J5" s="20"/>
    </row>
    <row r="6" ht="16.5" customHeight="1">
      <c r="A6" s="12" t="s">
        <v>25</v>
      </c>
      <c r="B6" s="19"/>
      <c r="C6" s="19"/>
      <c r="D6" s="19"/>
      <c r="E6" s="19"/>
      <c r="F6" s="10" t="s">
        <v>90</v>
      </c>
      <c r="G6" s="10" t="s">
        <v>58</v>
      </c>
      <c r="H6" s="17">
        <v>2.0</v>
      </c>
      <c r="I6" s="10" t="s">
        <v>92</v>
      </c>
      <c r="J6" s="20"/>
    </row>
    <row r="7" ht="15.0" customHeight="1">
      <c r="A7" s="12" t="s">
        <v>25</v>
      </c>
      <c r="B7" s="22"/>
      <c r="C7" s="22"/>
      <c r="D7" s="22"/>
      <c r="E7" s="22"/>
      <c r="F7" s="10" t="s">
        <v>98</v>
      </c>
      <c r="G7" s="10" t="s">
        <v>58</v>
      </c>
      <c r="H7" s="17">
        <v>2.0</v>
      </c>
      <c r="I7" s="10" t="s">
        <v>101</v>
      </c>
      <c r="J7" s="23"/>
    </row>
    <row r="8" ht="13.5" customHeight="1">
      <c r="A8" s="12" t="s">
        <v>25</v>
      </c>
      <c r="B8" s="15">
        <v>2.0</v>
      </c>
      <c r="C8" s="15" t="s">
        <v>107</v>
      </c>
      <c r="D8" s="15" t="s">
        <v>112</v>
      </c>
      <c r="E8" s="15">
        <v>4.0</v>
      </c>
      <c r="F8" s="10" t="s">
        <v>113</v>
      </c>
      <c r="G8" s="10" t="s">
        <v>58</v>
      </c>
      <c r="H8" s="17">
        <v>2.0</v>
      </c>
      <c r="I8" s="10"/>
      <c r="J8" s="18" t="s">
        <v>117</v>
      </c>
    </row>
    <row r="9" ht="13.5" customHeight="1">
      <c r="A9" s="12" t="s">
        <v>25</v>
      </c>
      <c r="B9" s="19"/>
      <c r="C9" s="19"/>
      <c r="D9" s="19"/>
      <c r="E9" s="19"/>
      <c r="F9" s="10" t="s">
        <v>123</v>
      </c>
      <c r="G9" s="10" t="s">
        <v>58</v>
      </c>
      <c r="H9" s="17">
        <v>2.0</v>
      </c>
      <c r="I9" s="10"/>
      <c r="J9" s="20"/>
    </row>
    <row r="10" ht="15.0" customHeight="1">
      <c r="A10" s="12" t="s">
        <v>25</v>
      </c>
      <c r="B10" s="19"/>
      <c r="C10" s="19"/>
      <c r="D10" s="19"/>
      <c r="E10" s="19"/>
      <c r="F10" s="10" t="s">
        <v>129</v>
      </c>
      <c r="G10" s="10" t="s">
        <v>58</v>
      </c>
      <c r="H10" s="17">
        <v>2.0</v>
      </c>
      <c r="I10" s="10"/>
      <c r="J10" s="20"/>
    </row>
    <row r="11" ht="15.0" customHeight="1">
      <c r="A11" s="12" t="s">
        <v>25</v>
      </c>
      <c r="B11" s="22"/>
      <c r="C11" s="22"/>
      <c r="D11" s="22"/>
      <c r="E11" s="22"/>
      <c r="F11" s="10" t="s">
        <v>137</v>
      </c>
      <c r="G11" s="10" t="s">
        <v>58</v>
      </c>
      <c r="H11" s="17">
        <v>2.0</v>
      </c>
      <c r="I11" s="10"/>
      <c r="J11" s="23"/>
    </row>
    <row r="12" ht="14.25" customHeight="1">
      <c r="A12" s="12" t="s">
        <v>25</v>
      </c>
      <c r="B12" s="15">
        <v>3.0</v>
      </c>
      <c r="C12" s="38" t="s">
        <v>144</v>
      </c>
      <c r="D12" s="15" t="s">
        <v>112</v>
      </c>
      <c r="E12" s="42">
        <v>7.0</v>
      </c>
      <c r="F12" s="10" t="s">
        <v>158</v>
      </c>
      <c r="G12" s="10" t="s">
        <v>58</v>
      </c>
      <c r="H12" s="17">
        <v>2.0</v>
      </c>
      <c r="J12" s="18" t="s">
        <v>162</v>
      </c>
    </row>
    <row r="13" ht="14.25" customHeight="1">
      <c r="A13" s="12" t="s">
        <v>25</v>
      </c>
      <c r="B13" s="19"/>
      <c r="C13" s="19"/>
      <c r="D13" s="19"/>
      <c r="E13" s="19"/>
      <c r="F13" s="10" t="s">
        <v>169</v>
      </c>
      <c r="G13" s="10" t="s">
        <v>58</v>
      </c>
      <c r="H13" s="17">
        <v>2.0</v>
      </c>
      <c r="I13" s="10"/>
      <c r="J13" s="20"/>
    </row>
    <row r="14" ht="16.5" customHeight="1">
      <c r="A14" s="12" t="s">
        <v>25</v>
      </c>
      <c r="B14" s="19"/>
      <c r="C14" s="19"/>
      <c r="D14" s="19"/>
      <c r="E14" s="19"/>
      <c r="F14" s="10" t="s">
        <v>171</v>
      </c>
      <c r="G14" s="10" t="s">
        <v>58</v>
      </c>
      <c r="H14" s="17">
        <v>2.0</v>
      </c>
      <c r="I14" s="10" t="s">
        <v>174</v>
      </c>
      <c r="J14" s="20"/>
    </row>
    <row r="15" ht="16.5" customHeight="1">
      <c r="A15" s="12" t="s">
        <v>25</v>
      </c>
      <c r="B15" s="19"/>
      <c r="C15" s="19"/>
      <c r="D15" s="19"/>
      <c r="E15" s="19"/>
      <c r="F15" s="10" t="s">
        <v>177</v>
      </c>
      <c r="G15" s="10" t="s">
        <v>58</v>
      </c>
      <c r="H15" s="17">
        <v>2.0</v>
      </c>
      <c r="I15" s="10"/>
      <c r="J15" s="20"/>
    </row>
    <row r="16" ht="14.25" customHeight="1">
      <c r="A16" s="12" t="s">
        <v>25</v>
      </c>
      <c r="B16" s="19"/>
      <c r="C16" s="19"/>
      <c r="D16" s="19"/>
      <c r="E16" s="19"/>
      <c r="F16" s="10" t="s">
        <v>181</v>
      </c>
      <c r="G16" s="10" t="s">
        <v>58</v>
      </c>
      <c r="H16" s="17">
        <v>2.0</v>
      </c>
      <c r="I16" s="10"/>
      <c r="J16" s="20"/>
    </row>
    <row r="17" ht="15.75" customHeight="1">
      <c r="A17" s="12" t="s">
        <v>25</v>
      </c>
      <c r="B17" s="19"/>
      <c r="C17" s="19"/>
      <c r="D17" s="19"/>
      <c r="E17" s="19"/>
      <c r="F17" s="10" t="s">
        <v>185</v>
      </c>
      <c r="G17" s="10" t="s">
        <v>58</v>
      </c>
      <c r="H17" s="17">
        <v>2.0</v>
      </c>
      <c r="I17" s="10" t="s">
        <v>187</v>
      </c>
      <c r="J17" s="20"/>
    </row>
    <row r="18" ht="17.25" customHeight="1">
      <c r="A18" s="12" t="s">
        <v>25</v>
      </c>
      <c r="B18" s="22"/>
      <c r="C18" s="22"/>
      <c r="D18" s="22"/>
      <c r="E18" s="22"/>
      <c r="F18" s="10" t="s">
        <v>204</v>
      </c>
      <c r="G18" s="10" t="s">
        <v>58</v>
      </c>
      <c r="H18" s="17">
        <v>2.0</v>
      </c>
      <c r="I18" s="10"/>
      <c r="J18" s="23"/>
    </row>
    <row r="19" ht="15.75" customHeight="1">
      <c r="A19" s="12" t="s">
        <v>25</v>
      </c>
      <c r="B19" s="42">
        <v>4.0</v>
      </c>
      <c r="C19" s="49" t="s">
        <v>215</v>
      </c>
      <c r="D19" s="49" t="s">
        <v>220</v>
      </c>
      <c r="E19" s="42">
        <v>4.0</v>
      </c>
      <c r="F19" s="10" t="s">
        <v>227</v>
      </c>
      <c r="G19" s="10" t="s">
        <v>58</v>
      </c>
      <c r="H19" s="17">
        <v>2.0</v>
      </c>
      <c r="I19" s="10"/>
      <c r="J19" s="18" t="s">
        <v>233</v>
      </c>
    </row>
    <row r="20" ht="15.75" customHeight="1">
      <c r="A20" s="12" t="s">
        <v>25</v>
      </c>
      <c r="B20" s="19"/>
      <c r="C20" s="19"/>
      <c r="D20" s="19"/>
      <c r="E20" s="19"/>
      <c r="F20" s="10" t="s">
        <v>245</v>
      </c>
      <c r="G20" s="10" t="s">
        <v>58</v>
      </c>
      <c r="H20" s="17">
        <v>2.0</v>
      </c>
      <c r="I20" s="10"/>
      <c r="J20" s="20"/>
    </row>
    <row r="21" ht="15.75" customHeight="1">
      <c r="A21" s="12" t="s">
        <v>25</v>
      </c>
      <c r="B21" s="19"/>
      <c r="C21" s="19"/>
      <c r="D21" s="19"/>
      <c r="E21" s="19"/>
      <c r="F21" s="10" t="s">
        <v>252</v>
      </c>
      <c r="G21" s="10" t="s">
        <v>58</v>
      </c>
      <c r="H21" s="17">
        <v>2.0</v>
      </c>
      <c r="I21" s="10"/>
      <c r="J21" s="20"/>
    </row>
    <row r="22" ht="15.75" customHeight="1">
      <c r="A22" s="12" t="s">
        <v>25</v>
      </c>
      <c r="B22" s="22"/>
      <c r="C22" s="22"/>
      <c r="D22" s="22"/>
      <c r="E22" s="22"/>
      <c r="F22" s="10" t="s">
        <v>259</v>
      </c>
      <c r="G22" s="10" t="s">
        <v>58</v>
      </c>
      <c r="H22" s="17">
        <v>2.0</v>
      </c>
      <c r="I22" s="10"/>
      <c r="J22" s="23"/>
    </row>
    <row r="23" ht="15.75" customHeight="1">
      <c r="A23" s="12" t="s">
        <v>25</v>
      </c>
      <c r="B23" s="42">
        <v>5.0</v>
      </c>
      <c r="C23" s="49" t="s">
        <v>273</v>
      </c>
      <c r="D23" s="49" t="s">
        <v>277</v>
      </c>
      <c r="E23" s="42">
        <v>3.0</v>
      </c>
      <c r="F23" s="10" t="s">
        <v>285</v>
      </c>
      <c r="G23" s="10" t="s">
        <v>58</v>
      </c>
      <c r="H23" s="17">
        <v>2.0</v>
      </c>
      <c r="I23" s="10" t="s">
        <v>287</v>
      </c>
      <c r="J23" s="18" t="s">
        <v>289</v>
      </c>
    </row>
    <row r="24" ht="15.75" customHeight="1">
      <c r="A24" s="12" t="s">
        <v>25</v>
      </c>
      <c r="B24" s="19"/>
      <c r="C24" s="19"/>
      <c r="D24" s="19"/>
      <c r="E24" s="19"/>
      <c r="F24" s="10" t="s">
        <v>297</v>
      </c>
      <c r="G24" s="10" t="s">
        <v>58</v>
      </c>
      <c r="H24" s="17">
        <v>2.0</v>
      </c>
      <c r="I24" s="10"/>
      <c r="J24" s="20"/>
    </row>
    <row r="25" ht="15.75" customHeight="1">
      <c r="A25" s="12" t="s">
        <v>25</v>
      </c>
      <c r="B25" s="22"/>
      <c r="C25" s="22"/>
      <c r="D25" s="22"/>
      <c r="E25" s="22"/>
      <c r="F25" s="10" t="s">
        <v>305</v>
      </c>
      <c r="G25" s="10" t="s">
        <v>58</v>
      </c>
      <c r="H25" s="17">
        <v>2.0</v>
      </c>
      <c r="I25" s="10" t="s">
        <v>307</v>
      </c>
      <c r="J25" s="23"/>
    </row>
    <row r="26" ht="15.75" customHeight="1">
      <c r="A26" s="12" t="s">
        <v>25</v>
      </c>
      <c r="B26" s="42">
        <v>6.0</v>
      </c>
      <c r="C26" s="49" t="s">
        <v>314</v>
      </c>
      <c r="D26" s="49" t="s">
        <v>318</v>
      </c>
      <c r="E26" s="42">
        <v>6.0</v>
      </c>
      <c r="F26" s="10" t="s">
        <v>322</v>
      </c>
      <c r="G26" s="10" t="s">
        <v>58</v>
      </c>
      <c r="H26" s="17">
        <v>2.0</v>
      </c>
      <c r="I26" s="10" t="s">
        <v>326</v>
      </c>
      <c r="J26" s="18" t="s">
        <v>328</v>
      </c>
    </row>
    <row r="27" ht="15.75" customHeight="1">
      <c r="A27" s="12" t="s">
        <v>25</v>
      </c>
      <c r="B27" s="19"/>
      <c r="C27" s="19"/>
      <c r="D27" s="19"/>
      <c r="E27" s="19"/>
      <c r="F27" s="10" t="s">
        <v>338</v>
      </c>
      <c r="G27" s="10" t="s">
        <v>58</v>
      </c>
      <c r="H27" s="17">
        <v>2.0</v>
      </c>
      <c r="I27" s="10"/>
      <c r="J27" s="20"/>
    </row>
    <row r="28" ht="15.75" customHeight="1">
      <c r="A28" s="12" t="s">
        <v>25</v>
      </c>
      <c r="B28" s="19"/>
      <c r="C28" s="19"/>
      <c r="D28" s="19"/>
      <c r="E28" s="19"/>
      <c r="F28" s="10" t="s">
        <v>346</v>
      </c>
      <c r="G28" s="10" t="s">
        <v>58</v>
      </c>
      <c r="H28" s="17">
        <v>2.0</v>
      </c>
      <c r="I28" s="10"/>
      <c r="J28" s="20"/>
    </row>
    <row r="29" ht="15.75" customHeight="1">
      <c r="A29" s="12" t="s">
        <v>25</v>
      </c>
      <c r="B29" s="19"/>
      <c r="C29" s="19"/>
      <c r="D29" s="19"/>
      <c r="E29" s="19"/>
      <c r="F29" s="10" t="s">
        <v>350</v>
      </c>
      <c r="G29" s="10" t="s">
        <v>58</v>
      </c>
      <c r="H29" s="17">
        <v>2.0</v>
      </c>
      <c r="I29" s="10" t="s">
        <v>351</v>
      </c>
      <c r="J29" s="20"/>
    </row>
    <row r="30" ht="15.75" customHeight="1">
      <c r="A30" s="12" t="s">
        <v>25</v>
      </c>
      <c r="B30" s="19"/>
      <c r="C30" s="19"/>
      <c r="D30" s="19"/>
      <c r="E30" s="19"/>
      <c r="F30" s="10" t="s">
        <v>354</v>
      </c>
      <c r="G30" s="10" t="s">
        <v>58</v>
      </c>
      <c r="H30" s="17">
        <v>2.0</v>
      </c>
      <c r="I30" s="10" t="s">
        <v>356</v>
      </c>
      <c r="J30" s="20"/>
    </row>
    <row r="31" ht="15.75" customHeight="1">
      <c r="A31" s="12" t="s">
        <v>25</v>
      </c>
      <c r="B31" s="22"/>
      <c r="C31" s="22"/>
      <c r="D31" s="19"/>
      <c r="E31" s="22"/>
      <c r="F31" s="10" t="s">
        <v>362</v>
      </c>
      <c r="G31" s="10" t="s">
        <v>58</v>
      </c>
      <c r="H31" s="17">
        <v>2.0</v>
      </c>
      <c r="I31" s="10"/>
      <c r="J31" s="23"/>
    </row>
    <row r="32" ht="28.5" customHeight="1">
      <c r="A32" s="58" t="s">
        <v>25</v>
      </c>
      <c r="B32" s="42">
        <v>7.0</v>
      </c>
      <c r="C32" s="15" t="s">
        <v>374</v>
      </c>
      <c r="D32" s="15" t="s">
        <v>378</v>
      </c>
      <c r="E32" s="49">
        <v>4.0</v>
      </c>
      <c r="F32" s="61" t="s">
        <v>386</v>
      </c>
      <c r="G32" s="63" t="s">
        <v>389</v>
      </c>
      <c r="H32" s="17">
        <v>2.0</v>
      </c>
      <c r="I32" s="10" t="s">
        <v>397</v>
      </c>
      <c r="J32" s="18" t="s">
        <v>399</v>
      </c>
    </row>
    <row r="33" ht="30.75" customHeight="1">
      <c r="A33" s="58" t="s">
        <v>25</v>
      </c>
      <c r="B33" s="19"/>
      <c r="C33" s="19"/>
      <c r="D33" s="19"/>
      <c r="E33" s="19"/>
      <c r="F33" s="61" t="s">
        <v>409</v>
      </c>
      <c r="G33" s="19"/>
      <c r="H33" s="17">
        <v>2.0</v>
      </c>
      <c r="I33" s="10"/>
      <c r="J33" s="20"/>
    </row>
    <row r="34" ht="27.0" customHeight="1">
      <c r="A34" s="58" t="s">
        <v>25</v>
      </c>
      <c r="B34" s="19"/>
      <c r="C34" s="19"/>
      <c r="D34" s="19"/>
      <c r="E34" s="19"/>
      <c r="F34" s="61" t="s">
        <v>414</v>
      </c>
      <c r="G34" s="19"/>
      <c r="H34" s="17">
        <v>2.0</v>
      </c>
      <c r="I34" s="10"/>
      <c r="J34" s="20"/>
    </row>
    <row r="35" ht="20.25" customHeight="1">
      <c r="A35" s="58" t="s">
        <v>25</v>
      </c>
      <c r="B35" s="22"/>
      <c r="C35" s="22"/>
      <c r="D35" s="22"/>
      <c r="E35" s="22"/>
      <c r="F35" s="61" t="s">
        <v>421</v>
      </c>
      <c r="G35" s="22"/>
      <c r="H35" s="17">
        <v>2.0</v>
      </c>
      <c r="I35" s="10"/>
      <c r="J35" s="23"/>
    </row>
    <row r="36" ht="15.75" customHeight="1">
      <c r="A36" s="66" t="s">
        <v>425</v>
      </c>
      <c r="B36" s="25"/>
      <c r="C36" s="67" t="s">
        <v>448</v>
      </c>
      <c r="D36" s="25"/>
      <c r="E36" s="67">
        <f>SUM(E4:E35)</f>
        <v>32</v>
      </c>
      <c r="F36" s="25"/>
      <c r="G36" s="25"/>
      <c r="H36" s="67">
        <f>SUM(H4:H35)</f>
        <v>64</v>
      </c>
      <c r="I36" s="25"/>
      <c r="J36" s="5"/>
    </row>
    <row r="37" ht="15.75" customHeight="1">
      <c r="H37" s="3"/>
      <c r="J37" s="5"/>
    </row>
    <row r="38" ht="18.0" customHeight="1">
      <c r="A38" s="12" t="s">
        <v>495</v>
      </c>
      <c r="B38" s="68">
        <v>1.0</v>
      </c>
      <c r="C38" s="15" t="s">
        <v>508</v>
      </c>
      <c r="D38" s="15" t="s">
        <v>516</v>
      </c>
      <c r="E38" s="15">
        <v>6.0</v>
      </c>
      <c r="F38" s="10" t="s">
        <v>522</v>
      </c>
      <c r="G38" s="10" t="s">
        <v>525</v>
      </c>
      <c r="H38" s="17">
        <v>2.0</v>
      </c>
      <c r="I38" s="10"/>
      <c r="J38" s="15" t="s">
        <v>530</v>
      </c>
    </row>
    <row r="39" ht="17.25" customHeight="1">
      <c r="A39" s="12" t="s">
        <v>495</v>
      </c>
      <c r="B39" s="69"/>
      <c r="C39" s="19"/>
      <c r="D39" s="19"/>
      <c r="E39" s="19"/>
      <c r="F39" s="10" t="s">
        <v>548</v>
      </c>
      <c r="G39" s="10" t="s">
        <v>525</v>
      </c>
      <c r="H39" s="17">
        <v>2.0</v>
      </c>
      <c r="I39" s="10" t="s">
        <v>552</v>
      </c>
      <c r="J39" s="19"/>
    </row>
    <row r="40" ht="18.0" customHeight="1">
      <c r="A40" s="12" t="s">
        <v>495</v>
      </c>
      <c r="B40" s="69"/>
      <c r="C40" s="19"/>
      <c r="D40" s="19"/>
      <c r="E40" s="19"/>
      <c r="F40" s="10" t="s">
        <v>556</v>
      </c>
      <c r="G40" s="10" t="s">
        <v>525</v>
      </c>
      <c r="H40" s="17">
        <v>2.0</v>
      </c>
      <c r="I40" s="10"/>
      <c r="J40" s="19"/>
    </row>
    <row r="41" ht="18.0" customHeight="1">
      <c r="A41" s="12" t="s">
        <v>495</v>
      </c>
      <c r="B41" s="69"/>
      <c r="C41" s="19"/>
      <c r="D41" s="19"/>
      <c r="E41" s="19"/>
      <c r="F41" s="10" t="s">
        <v>563</v>
      </c>
      <c r="G41" s="10" t="s">
        <v>525</v>
      </c>
      <c r="H41" s="17">
        <v>2.0</v>
      </c>
      <c r="I41" s="10"/>
      <c r="J41" s="19"/>
    </row>
    <row r="42" ht="16.5" customHeight="1">
      <c r="A42" s="12" t="s">
        <v>495</v>
      </c>
      <c r="B42" s="69"/>
      <c r="C42" s="19"/>
      <c r="D42" s="19"/>
      <c r="E42" s="19"/>
      <c r="F42" s="10" t="s">
        <v>571</v>
      </c>
      <c r="G42" s="10" t="s">
        <v>525</v>
      </c>
      <c r="H42" s="17">
        <v>2.0</v>
      </c>
      <c r="I42" s="10" t="s">
        <v>578</v>
      </c>
      <c r="J42" s="19"/>
    </row>
    <row r="43" ht="17.25" customHeight="1">
      <c r="A43" s="12" t="s">
        <v>495</v>
      </c>
      <c r="B43" s="71"/>
      <c r="C43" s="22"/>
      <c r="D43" s="22"/>
      <c r="E43" s="22"/>
      <c r="F43" s="72" t="s">
        <v>593</v>
      </c>
      <c r="G43" s="10" t="s">
        <v>525</v>
      </c>
      <c r="H43" s="3">
        <v>2.0</v>
      </c>
      <c r="J43" s="22"/>
    </row>
    <row r="44" ht="15.0" customHeight="1">
      <c r="A44" s="12" t="s">
        <v>495</v>
      </c>
      <c r="B44" s="68">
        <v>2.0</v>
      </c>
      <c r="C44" s="15" t="s">
        <v>602</v>
      </c>
      <c r="D44" s="15" t="s">
        <v>378</v>
      </c>
      <c r="E44" s="15">
        <v>5.0</v>
      </c>
      <c r="F44" s="10" t="s">
        <v>620</v>
      </c>
      <c r="G44" s="10" t="s">
        <v>525</v>
      </c>
      <c r="H44" s="17">
        <v>2.0</v>
      </c>
      <c r="I44" s="10"/>
      <c r="J44" s="15" t="s">
        <v>624</v>
      </c>
    </row>
    <row r="45" ht="16.5" customHeight="1">
      <c r="A45" s="12" t="s">
        <v>495</v>
      </c>
      <c r="B45" s="69"/>
      <c r="C45" s="19"/>
      <c r="D45" s="19"/>
      <c r="E45" s="19"/>
      <c r="F45" s="10" t="s">
        <v>634</v>
      </c>
      <c r="G45" s="10" t="s">
        <v>525</v>
      </c>
      <c r="H45" s="17">
        <v>2.0</v>
      </c>
      <c r="I45" s="10"/>
      <c r="J45" s="19"/>
    </row>
    <row r="46" ht="16.5" customHeight="1">
      <c r="A46" s="12" t="s">
        <v>495</v>
      </c>
      <c r="B46" s="69"/>
      <c r="C46" s="19"/>
      <c r="D46" s="19"/>
      <c r="E46" s="19"/>
      <c r="F46" s="10" t="s">
        <v>649</v>
      </c>
      <c r="G46" s="10" t="s">
        <v>525</v>
      </c>
      <c r="H46" s="17">
        <v>2.0</v>
      </c>
      <c r="I46" s="10"/>
      <c r="J46" s="19"/>
    </row>
    <row r="47" ht="17.25" customHeight="1">
      <c r="A47" s="12" t="s">
        <v>495</v>
      </c>
      <c r="B47" s="69"/>
      <c r="C47" s="19"/>
      <c r="D47" s="19"/>
      <c r="E47" s="19"/>
      <c r="F47" s="10" t="s">
        <v>662</v>
      </c>
      <c r="G47" s="10" t="s">
        <v>525</v>
      </c>
      <c r="H47" s="17">
        <v>2.0</v>
      </c>
      <c r="J47" s="19"/>
    </row>
    <row r="48" ht="15.75" customHeight="1">
      <c r="A48" s="12" t="s">
        <v>495</v>
      </c>
      <c r="B48" s="71"/>
      <c r="C48" s="22"/>
      <c r="D48" s="22"/>
      <c r="E48" s="22"/>
      <c r="F48" s="10" t="s">
        <v>674</v>
      </c>
      <c r="G48" s="10" t="s">
        <v>525</v>
      </c>
      <c r="H48" s="17">
        <v>2.0</v>
      </c>
      <c r="I48" s="10"/>
      <c r="J48" s="22"/>
    </row>
    <row r="49" ht="16.5" customHeight="1">
      <c r="A49" s="12" t="s">
        <v>495</v>
      </c>
      <c r="B49" s="68">
        <v>3.0</v>
      </c>
      <c r="C49" s="15" t="s">
        <v>688</v>
      </c>
      <c r="D49" s="15" t="s">
        <v>696</v>
      </c>
      <c r="E49" s="15">
        <v>4.0</v>
      </c>
      <c r="F49" s="10" t="s">
        <v>709</v>
      </c>
      <c r="G49" s="10" t="s">
        <v>525</v>
      </c>
      <c r="H49" s="17">
        <v>2.0</v>
      </c>
      <c r="I49" s="10"/>
      <c r="J49" s="15" t="s">
        <v>715</v>
      </c>
    </row>
    <row r="50" ht="18.75" customHeight="1">
      <c r="A50" s="12" t="s">
        <v>495</v>
      </c>
      <c r="B50" s="69"/>
      <c r="C50" s="19"/>
      <c r="D50" s="19"/>
      <c r="E50" s="19"/>
      <c r="F50" s="10" t="s">
        <v>727</v>
      </c>
      <c r="G50" s="10" t="s">
        <v>525</v>
      </c>
      <c r="H50" s="17">
        <v>2.0</v>
      </c>
      <c r="I50" s="10"/>
      <c r="J50" s="19"/>
    </row>
    <row r="51" ht="18.0" customHeight="1">
      <c r="A51" s="12" t="s">
        <v>495</v>
      </c>
      <c r="B51" s="69"/>
      <c r="C51" s="19"/>
      <c r="D51" s="19"/>
      <c r="E51" s="19"/>
      <c r="F51" s="10" t="s">
        <v>740</v>
      </c>
      <c r="G51" s="10" t="s">
        <v>525</v>
      </c>
      <c r="H51" s="17">
        <v>2.0</v>
      </c>
      <c r="I51" s="10"/>
      <c r="J51" s="19"/>
    </row>
    <row r="52" ht="18.0" customHeight="1">
      <c r="A52" s="12" t="s">
        <v>495</v>
      </c>
      <c r="B52" s="71"/>
      <c r="C52" s="22"/>
      <c r="D52" s="22"/>
      <c r="E52" s="22"/>
      <c r="F52" s="10" t="s">
        <v>748</v>
      </c>
      <c r="G52" s="10" t="s">
        <v>525</v>
      </c>
      <c r="H52" s="17">
        <v>2.0</v>
      </c>
      <c r="I52" s="10" t="s">
        <v>751</v>
      </c>
      <c r="J52" s="22"/>
    </row>
    <row r="53" ht="16.5" customHeight="1">
      <c r="A53" s="12" t="s">
        <v>495</v>
      </c>
      <c r="B53" s="68">
        <v>4.0</v>
      </c>
      <c r="C53" s="15" t="s">
        <v>759</v>
      </c>
      <c r="D53" s="15" t="s">
        <v>696</v>
      </c>
      <c r="E53" s="15">
        <v>6.0</v>
      </c>
      <c r="F53" s="10" t="s">
        <v>769</v>
      </c>
      <c r="G53" s="10" t="s">
        <v>525</v>
      </c>
      <c r="H53" s="17">
        <v>2.0</v>
      </c>
      <c r="I53" s="10"/>
      <c r="J53" s="15" t="s">
        <v>773</v>
      </c>
    </row>
    <row r="54" ht="15.75" customHeight="1">
      <c r="A54" s="12" t="s">
        <v>495</v>
      </c>
      <c r="B54" s="69"/>
      <c r="C54" s="19"/>
      <c r="D54" s="19"/>
      <c r="E54" s="19"/>
      <c r="F54" s="10" t="s">
        <v>780</v>
      </c>
      <c r="G54" s="10" t="s">
        <v>525</v>
      </c>
      <c r="H54" s="17">
        <v>2.0</v>
      </c>
      <c r="I54" s="10"/>
      <c r="J54" s="19"/>
    </row>
    <row r="55" ht="42.0" customHeight="1">
      <c r="A55" s="58" t="s">
        <v>495</v>
      </c>
      <c r="B55" s="69"/>
      <c r="C55" s="19"/>
      <c r="D55" s="19"/>
      <c r="E55" s="19"/>
      <c r="F55" s="10" t="s">
        <v>789</v>
      </c>
      <c r="G55" s="10" t="s">
        <v>791</v>
      </c>
      <c r="H55" s="17">
        <v>2.0</v>
      </c>
      <c r="I55" s="10" t="s">
        <v>793</v>
      </c>
      <c r="J55" s="19"/>
    </row>
    <row r="56" ht="13.5" customHeight="1">
      <c r="A56" s="12" t="s">
        <v>495</v>
      </c>
      <c r="B56" s="69"/>
      <c r="C56" s="19"/>
      <c r="D56" s="19"/>
      <c r="E56" s="19"/>
      <c r="F56" s="10" t="s">
        <v>800</v>
      </c>
      <c r="G56" s="10" t="s">
        <v>525</v>
      </c>
      <c r="H56" s="17">
        <v>2.0</v>
      </c>
      <c r="I56" s="10" t="s">
        <v>802</v>
      </c>
      <c r="J56" s="19"/>
    </row>
    <row r="57" ht="15.0" customHeight="1">
      <c r="A57" s="12" t="s">
        <v>495</v>
      </c>
      <c r="B57" s="69"/>
      <c r="C57" s="19"/>
      <c r="D57" s="19"/>
      <c r="E57" s="19"/>
      <c r="F57" s="10" t="s">
        <v>804</v>
      </c>
      <c r="G57" s="10" t="s">
        <v>525</v>
      </c>
      <c r="H57" s="17">
        <v>2.0</v>
      </c>
      <c r="I57" s="10" t="s">
        <v>806</v>
      </c>
      <c r="J57" s="19"/>
    </row>
    <row r="58" ht="14.25" customHeight="1">
      <c r="A58" s="12" t="s">
        <v>495</v>
      </c>
      <c r="B58" s="71"/>
      <c r="C58" s="22"/>
      <c r="D58" s="22"/>
      <c r="E58" s="22"/>
      <c r="F58" s="10" t="s">
        <v>813</v>
      </c>
      <c r="G58" s="10" t="s">
        <v>525</v>
      </c>
      <c r="H58" s="17">
        <v>2.0</v>
      </c>
      <c r="I58" s="10"/>
      <c r="J58" s="22"/>
    </row>
    <row r="59" ht="20.25" customHeight="1">
      <c r="A59" s="12" t="s">
        <v>495</v>
      </c>
      <c r="B59" s="68">
        <v>5.0</v>
      </c>
      <c r="C59" s="38" t="s">
        <v>826</v>
      </c>
      <c r="D59" s="15" t="s">
        <v>378</v>
      </c>
      <c r="E59" s="15">
        <v>2.0</v>
      </c>
      <c r="F59" s="10" t="s">
        <v>834</v>
      </c>
      <c r="G59" s="10" t="s">
        <v>525</v>
      </c>
      <c r="H59" s="17">
        <v>2.0</v>
      </c>
      <c r="I59" s="10"/>
      <c r="J59" s="15" t="s">
        <v>836</v>
      </c>
    </row>
    <row r="60" ht="15.75" customHeight="1">
      <c r="A60" s="12" t="s">
        <v>495</v>
      </c>
      <c r="B60" s="71"/>
      <c r="C60" s="22"/>
      <c r="D60" s="22"/>
      <c r="E60" s="22"/>
      <c r="F60" s="10" t="s">
        <v>844</v>
      </c>
      <c r="G60" s="10" t="s">
        <v>525</v>
      </c>
      <c r="H60" s="17">
        <v>2.0</v>
      </c>
      <c r="I60" s="10"/>
      <c r="J60" s="22"/>
    </row>
    <row r="61" ht="15.75" customHeight="1">
      <c r="A61" s="58" t="s">
        <v>495</v>
      </c>
      <c r="B61" s="68">
        <v>6.0</v>
      </c>
      <c r="C61" s="15" t="s">
        <v>861</v>
      </c>
      <c r="D61" s="15" t="s">
        <v>864</v>
      </c>
      <c r="E61" s="42">
        <v>6.0</v>
      </c>
      <c r="F61" s="10" t="s">
        <v>871</v>
      </c>
      <c r="G61" s="63" t="s">
        <v>872</v>
      </c>
      <c r="H61" s="17">
        <v>2.0</v>
      </c>
      <c r="I61" s="25"/>
      <c r="J61" s="15" t="s">
        <v>879</v>
      </c>
    </row>
    <row r="62" ht="15.75" customHeight="1">
      <c r="A62" s="12" t="s">
        <v>495</v>
      </c>
      <c r="B62" s="69"/>
      <c r="C62" s="19"/>
      <c r="D62" s="19"/>
      <c r="E62" s="19"/>
      <c r="F62" s="10" t="s">
        <v>893</v>
      </c>
      <c r="G62" s="19"/>
      <c r="H62" s="17">
        <v>2.0</v>
      </c>
      <c r="I62" s="10"/>
      <c r="J62" s="19"/>
    </row>
    <row r="63" ht="15.75" customHeight="1">
      <c r="A63" s="12" t="s">
        <v>495</v>
      </c>
      <c r="B63" s="69"/>
      <c r="C63" s="19"/>
      <c r="D63" s="19"/>
      <c r="E63" s="19"/>
      <c r="F63" s="10" t="s">
        <v>900</v>
      </c>
      <c r="G63" s="19"/>
      <c r="H63" s="17">
        <v>2.0</v>
      </c>
      <c r="I63" s="10" t="s">
        <v>902</v>
      </c>
      <c r="J63" s="19"/>
    </row>
    <row r="64" ht="15.75" customHeight="1">
      <c r="A64" s="12" t="s">
        <v>495</v>
      </c>
      <c r="B64" s="69"/>
      <c r="C64" s="19"/>
      <c r="D64" s="19"/>
      <c r="E64" s="19"/>
      <c r="F64" s="10" t="s">
        <v>908</v>
      </c>
      <c r="G64" s="19"/>
      <c r="H64" s="17">
        <v>2.0</v>
      </c>
      <c r="I64" s="10" t="s">
        <v>911</v>
      </c>
      <c r="J64" s="19"/>
    </row>
    <row r="65" ht="15.75" customHeight="1">
      <c r="A65" s="12" t="s">
        <v>495</v>
      </c>
      <c r="B65" s="69"/>
      <c r="C65" s="19"/>
      <c r="D65" s="19"/>
      <c r="E65" s="19"/>
      <c r="F65" s="10" t="s">
        <v>916</v>
      </c>
      <c r="G65" s="19"/>
      <c r="H65" s="17">
        <v>2.0</v>
      </c>
      <c r="I65" s="25"/>
      <c r="J65" s="19"/>
    </row>
    <row r="66" ht="15.75" customHeight="1">
      <c r="A66" s="12" t="s">
        <v>495</v>
      </c>
      <c r="B66" s="71"/>
      <c r="C66" s="22"/>
      <c r="D66" s="22"/>
      <c r="E66" s="22"/>
      <c r="F66" s="10" t="s">
        <v>926</v>
      </c>
      <c r="G66" s="22"/>
      <c r="H66" s="17">
        <v>2.0</v>
      </c>
      <c r="I66" s="25"/>
      <c r="J66" s="22"/>
    </row>
    <row r="67" ht="15.75" customHeight="1">
      <c r="A67" s="58" t="s">
        <v>495</v>
      </c>
      <c r="B67" s="68">
        <v>7.0</v>
      </c>
      <c r="C67" s="15" t="s">
        <v>937</v>
      </c>
      <c r="D67" s="15" t="s">
        <v>944</v>
      </c>
      <c r="E67" s="42">
        <v>3.0</v>
      </c>
      <c r="F67" s="10" t="s">
        <v>952</v>
      </c>
      <c r="G67" s="63" t="s">
        <v>955</v>
      </c>
      <c r="H67" s="17">
        <v>2.0</v>
      </c>
      <c r="I67" s="25"/>
      <c r="J67" s="15" t="s">
        <v>960</v>
      </c>
    </row>
    <row r="68" ht="15.75" customHeight="1">
      <c r="A68" s="12" t="s">
        <v>495</v>
      </c>
      <c r="B68" s="69"/>
      <c r="C68" s="19"/>
      <c r="D68" s="19"/>
      <c r="E68" s="19"/>
      <c r="F68" s="10" t="s">
        <v>967</v>
      </c>
      <c r="G68" s="19"/>
      <c r="H68" s="17">
        <v>2.0</v>
      </c>
      <c r="I68" s="25"/>
      <c r="J68" s="19"/>
    </row>
    <row r="69" ht="15.75" customHeight="1">
      <c r="A69" s="12" t="s">
        <v>495</v>
      </c>
      <c r="B69" s="71"/>
      <c r="C69" s="22"/>
      <c r="D69" s="22"/>
      <c r="E69" s="22"/>
      <c r="F69" s="10" t="s">
        <v>973</v>
      </c>
      <c r="G69" s="22"/>
      <c r="H69" s="17">
        <v>2.0</v>
      </c>
      <c r="I69" s="25"/>
      <c r="J69" s="22"/>
    </row>
    <row r="70" ht="15.75" customHeight="1">
      <c r="A70" s="66" t="s">
        <v>981</v>
      </c>
      <c r="B70" s="25"/>
      <c r="C70" s="67" t="s">
        <v>448</v>
      </c>
      <c r="D70" s="25"/>
      <c r="E70" s="67">
        <f>SUM(E38:E69)</f>
        <v>32</v>
      </c>
      <c r="F70" s="25"/>
      <c r="G70" s="25"/>
      <c r="H70" s="67">
        <f>SUM(H38:H69)</f>
        <v>64</v>
      </c>
      <c r="I70" s="25"/>
      <c r="J70" s="5"/>
    </row>
    <row r="71" ht="15.75" customHeight="1">
      <c r="H71" s="3"/>
      <c r="J71" s="5"/>
    </row>
    <row r="72" ht="15.75" customHeight="1">
      <c r="H72" s="3"/>
      <c r="J72" s="5"/>
    </row>
    <row r="73" ht="15.75" customHeight="1">
      <c r="H73" s="3"/>
      <c r="J73" s="5"/>
    </row>
    <row r="74" ht="15.75" customHeight="1">
      <c r="H74" s="3"/>
      <c r="J74" s="5"/>
    </row>
    <row r="75" ht="15.75" customHeight="1">
      <c r="H75" s="3"/>
      <c r="J75" s="5"/>
    </row>
    <row r="76" ht="15.75" customHeight="1">
      <c r="H76" s="3"/>
      <c r="J76" s="5"/>
    </row>
    <row r="77" ht="15.75" customHeight="1">
      <c r="H77" s="3"/>
      <c r="J77" s="5"/>
    </row>
    <row r="78" ht="15.75" customHeight="1">
      <c r="H78" s="3"/>
      <c r="J78" s="5"/>
    </row>
    <row r="79" ht="15.75" customHeight="1">
      <c r="H79" s="3"/>
      <c r="J79" s="5"/>
    </row>
    <row r="80" ht="15.75" customHeight="1">
      <c r="H80" s="3"/>
      <c r="J80" s="5"/>
    </row>
    <row r="81" ht="15.75" customHeight="1">
      <c r="H81" s="3"/>
      <c r="J81" s="5"/>
    </row>
    <row r="82" ht="15.75" customHeight="1">
      <c r="H82" s="3"/>
      <c r="J82" s="5"/>
    </row>
    <row r="83" ht="15.75" customHeight="1">
      <c r="H83" s="3"/>
      <c r="J83" s="5"/>
    </row>
    <row r="84" ht="15.75" customHeight="1">
      <c r="H84" s="3"/>
      <c r="J84" s="5"/>
    </row>
    <row r="85" ht="15.75" customHeight="1">
      <c r="H85" s="3"/>
      <c r="J85" s="5"/>
    </row>
    <row r="86" ht="15.75" customHeight="1">
      <c r="H86" s="3"/>
      <c r="J86" s="5"/>
    </row>
    <row r="87" ht="15.75" customHeight="1">
      <c r="H87" s="3"/>
      <c r="J87" s="5"/>
    </row>
    <row r="88" ht="15.75" customHeight="1">
      <c r="H88" s="3"/>
      <c r="J88" s="5"/>
    </row>
    <row r="89" ht="15.75" customHeight="1">
      <c r="H89" s="3"/>
      <c r="J89" s="5"/>
    </row>
    <row r="90" ht="15.75" customHeight="1">
      <c r="H90" s="3"/>
      <c r="J90" s="5"/>
    </row>
    <row r="91" ht="15.75" customHeight="1">
      <c r="H91" s="3"/>
      <c r="J91" s="5"/>
    </row>
    <row r="92" ht="15.75" customHeight="1">
      <c r="H92" s="3"/>
      <c r="J92" s="5"/>
    </row>
    <row r="93" ht="15.75" customHeight="1">
      <c r="H93" s="3"/>
      <c r="J93" s="5"/>
    </row>
    <row r="94" ht="15.75" customHeight="1">
      <c r="H94" s="3"/>
      <c r="J94" s="5"/>
    </row>
    <row r="95" ht="15.75" customHeight="1">
      <c r="H95" s="3"/>
      <c r="J95" s="5"/>
    </row>
    <row r="96" ht="15.75" customHeight="1">
      <c r="H96" s="3"/>
      <c r="J96" s="5"/>
    </row>
    <row r="97" ht="15.75" customHeight="1">
      <c r="H97" s="3"/>
      <c r="J97" s="5"/>
    </row>
    <row r="98" ht="15.75" customHeight="1">
      <c r="H98" s="3"/>
      <c r="J98" s="5"/>
    </row>
    <row r="99" ht="15.75" customHeight="1">
      <c r="H99" s="3"/>
      <c r="J99" s="5"/>
    </row>
    <row r="100" ht="15.75" customHeight="1">
      <c r="H100" s="3"/>
      <c r="J100" s="5"/>
    </row>
    <row r="101" ht="15.75" customHeight="1">
      <c r="H101" s="3"/>
      <c r="J101" s="5"/>
    </row>
    <row r="102" ht="15.75" customHeight="1">
      <c r="H102" s="3"/>
      <c r="J102" s="5"/>
    </row>
    <row r="103" ht="15.75" customHeight="1">
      <c r="H103" s="3"/>
      <c r="J103" s="5"/>
    </row>
    <row r="104" ht="15.75" customHeight="1">
      <c r="H104" s="3"/>
      <c r="J104" s="5"/>
    </row>
    <row r="105" ht="15.75" customHeight="1">
      <c r="H105" s="3"/>
      <c r="J105" s="5"/>
    </row>
    <row r="106" ht="15.75" customHeight="1">
      <c r="H106" s="3"/>
      <c r="J106" s="5"/>
    </row>
    <row r="107" ht="15.75" customHeight="1">
      <c r="H107" s="3"/>
      <c r="J107" s="5"/>
    </row>
    <row r="108" ht="15.75" customHeight="1">
      <c r="H108" s="3"/>
      <c r="J108" s="5"/>
    </row>
    <row r="109" ht="15.75" customHeight="1">
      <c r="H109" s="3"/>
      <c r="J109" s="5"/>
    </row>
    <row r="110" ht="15.75" customHeight="1">
      <c r="H110" s="3"/>
      <c r="J110" s="5"/>
    </row>
    <row r="111" ht="15.75" customHeight="1">
      <c r="H111" s="3"/>
      <c r="J111" s="5"/>
    </row>
    <row r="112" ht="15.75" customHeight="1">
      <c r="H112" s="3"/>
      <c r="J112" s="5"/>
    </row>
    <row r="113" ht="15.75" customHeight="1">
      <c r="H113" s="3"/>
      <c r="J113" s="5"/>
    </row>
    <row r="114" ht="15.75" customHeight="1">
      <c r="H114" s="3"/>
      <c r="J114" s="5"/>
    </row>
    <row r="115" ht="15.75" customHeight="1">
      <c r="H115" s="3"/>
      <c r="J115" s="5"/>
    </row>
    <row r="116" ht="15.75" customHeight="1">
      <c r="H116" s="3"/>
      <c r="J116" s="5"/>
    </row>
    <row r="117" ht="15.75" customHeight="1">
      <c r="H117" s="3"/>
      <c r="J117" s="5"/>
    </row>
    <row r="118" ht="15.75" customHeight="1">
      <c r="H118" s="3"/>
      <c r="J118" s="5"/>
    </row>
    <row r="119" ht="15.75" customHeight="1">
      <c r="H119" s="3"/>
      <c r="J119" s="5"/>
    </row>
    <row r="120" ht="15.75" customHeight="1">
      <c r="H120" s="3"/>
      <c r="J120" s="5"/>
    </row>
    <row r="121" ht="15.75" customHeight="1">
      <c r="H121" s="3"/>
      <c r="J121" s="5"/>
    </row>
    <row r="122" ht="15.75" customHeight="1">
      <c r="H122" s="3"/>
      <c r="J122" s="5"/>
    </row>
    <row r="123" ht="15.75" customHeight="1">
      <c r="H123" s="3"/>
      <c r="J123" s="5"/>
    </row>
    <row r="124" ht="15.75" customHeight="1">
      <c r="H124" s="3"/>
      <c r="J124" s="5"/>
    </row>
    <row r="125" ht="15.75" customHeight="1">
      <c r="H125" s="3"/>
      <c r="J125" s="5"/>
    </row>
    <row r="126" ht="15.75" customHeight="1">
      <c r="H126" s="3"/>
      <c r="J126" s="5"/>
    </row>
    <row r="127" ht="15.75" customHeight="1">
      <c r="H127" s="3"/>
      <c r="J127" s="5"/>
    </row>
    <row r="128" ht="15.75" customHeight="1">
      <c r="H128" s="3"/>
      <c r="J128" s="5"/>
    </row>
    <row r="129" ht="15.75" customHeight="1">
      <c r="H129" s="3"/>
      <c r="J129" s="5"/>
    </row>
    <row r="130" ht="15.75" customHeight="1">
      <c r="H130" s="3"/>
      <c r="J130" s="5"/>
    </row>
    <row r="131" ht="15.75" customHeight="1">
      <c r="H131" s="3"/>
      <c r="J131" s="5"/>
    </row>
    <row r="132" ht="15.75" customHeight="1">
      <c r="H132" s="3"/>
      <c r="J132" s="5"/>
    </row>
    <row r="133" ht="15.75" customHeight="1">
      <c r="H133" s="3"/>
      <c r="J133" s="5"/>
    </row>
    <row r="134" ht="15.75" customHeight="1">
      <c r="H134" s="3"/>
      <c r="J134" s="5"/>
    </row>
    <row r="135" ht="15.75" customHeight="1">
      <c r="H135" s="3"/>
      <c r="J135" s="5"/>
    </row>
    <row r="136" ht="15.75" customHeight="1">
      <c r="H136" s="3"/>
      <c r="J136" s="5"/>
    </row>
    <row r="137" ht="15.75" customHeight="1">
      <c r="H137" s="3"/>
      <c r="J137" s="5"/>
    </row>
    <row r="138" ht="15.75" customHeight="1">
      <c r="H138" s="3"/>
      <c r="J138" s="5"/>
    </row>
    <row r="139" ht="15.75" customHeight="1">
      <c r="H139" s="3"/>
      <c r="J139" s="5"/>
    </row>
    <row r="140" ht="15.75" customHeight="1">
      <c r="H140" s="3"/>
      <c r="J140" s="5"/>
    </row>
    <row r="141" ht="15.75" customHeight="1">
      <c r="H141" s="3"/>
      <c r="J141" s="5"/>
    </row>
    <row r="142" ht="15.75" customHeight="1">
      <c r="H142" s="3"/>
      <c r="J142" s="5"/>
    </row>
    <row r="143" ht="15.75" customHeight="1">
      <c r="H143" s="3"/>
      <c r="J143" s="5"/>
    </row>
    <row r="144" ht="15.75" customHeight="1">
      <c r="H144" s="3"/>
      <c r="J144" s="5"/>
    </row>
    <row r="145" ht="15.75" customHeight="1">
      <c r="H145" s="3"/>
      <c r="J145" s="5"/>
    </row>
    <row r="146" ht="15.75" customHeight="1">
      <c r="H146" s="3"/>
      <c r="J146" s="5"/>
    </row>
    <row r="147" ht="15.75" customHeight="1">
      <c r="H147" s="3"/>
      <c r="J147" s="5"/>
    </row>
    <row r="148" ht="15.75" customHeight="1">
      <c r="H148" s="3"/>
      <c r="J148" s="5"/>
    </row>
    <row r="149" ht="15.75" customHeight="1">
      <c r="H149" s="3"/>
      <c r="J149" s="5"/>
    </row>
    <row r="150" ht="15.75" customHeight="1">
      <c r="H150" s="3"/>
      <c r="J150" s="5"/>
    </row>
    <row r="151" ht="15.75" customHeight="1">
      <c r="H151" s="3"/>
      <c r="J151" s="5"/>
    </row>
    <row r="152" ht="15.75" customHeight="1">
      <c r="H152" s="3"/>
      <c r="J152" s="5"/>
    </row>
    <row r="153" ht="15.75" customHeight="1">
      <c r="H153" s="3"/>
      <c r="J153" s="5"/>
    </row>
    <row r="154" ht="15.75" customHeight="1">
      <c r="H154" s="3"/>
      <c r="J154" s="5"/>
    </row>
    <row r="155" ht="15.75" customHeight="1">
      <c r="H155" s="3"/>
      <c r="J155" s="5"/>
    </row>
    <row r="156" ht="15.75" customHeight="1">
      <c r="H156" s="3"/>
      <c r="J156" s="5"/>
    </row>
    <row r="157" ht="15.75" customHeight="1">
      <c r="H157" s="3"/>
      <c r="J157" s="5"/>
    </row>
    <row r="158" ht="15.75" customHeight="1">
      <c r="H158" s="3"/>
      <c r="J158" s="5"/>
    </row>
    <row r="159" ht="15.75" customHeight="1">
      <c r="H159" s="3"/>
      <c r="J159" s="5"/>
    </row>
    <row r="160" ht="15.75" customHeight="1">
      <c r="H160" s="3"/>
      <c r="J160" s="5"/>
    </row>
    <row r="161" ht="15.75" customHeight="1">
      <c r="H161" s="3"/>
      <c r="J161" s="5"/>
    </row>
    <row r="162" ht="15.75" customHeight="1">
      <c r="H162" s="3"/>
      <c r="J162" s="5"/>
    </row>
    <row r="163" ht="15.75" customHeight="1">
      <c r="H163" s="3"/>
      <c r="J163" s="5"/>
    </row>
    <row r="164" ht="15.75" customHeight="1">
      <c r="H164" s="3"/>
      <c r="J164" s="5"/>
    </row>
    <row r="165" ht="15.75" customHeight="1">
      <c r="H165" s="3"/>
      <c r="J165" s="5"/>
    </row>
    <row r="166" ht="15.75" customHeight="1">
      <c r="H166" s="3"/>
      <c r="J166" s="5"/>
    </row>
    <row r="167" ht="15.75" customHeight="1">
      <c r="H167" s="3"/>
      <c r="J167" s="5"/>
    </row>
    <row r="168" ht="15.75" customHeight="1">
      <c r="H168" s="3"/>
      <c r="J168" s="5"/>
    </row>
    <row r="169" ht="15.75" customHeight="1">
      <c r="H169" s="3"/>
      <c r="J169" s="5"/>
    </row>
    <row r="170" ht="15.75" customHeight="1">
      <c r="H170" s="3"/>
      <c r="J170" s="5"/>
    </row>
    <row r="171" ht="15.75" customHeight="1">
      <c r="H171" s="3"/>
      <c r="J171" s="5"/>
    </row>
    <row r="172" ht="15.75" customHeight="1">
      <c r="H172" s="3"/>
      <c r="J172" s="5"/>
    </row>
    <row r="173" ht="15.75" customHeight="1">
      <c r="H173" s="3"/>
      <c r="J173" s="5"/>
    </row>
    <row r="174" ht="15.75" customHeight="1">
      <c r="H174" s="3"/>
      <c r="J174" s="5"/>
    </row>
    <row r="175" ht="15.75" customHeight="1">
      <c r="H175" s="3"/>
      <c r="J175" s="5"/>
    </row>
    <row r="176" ht="15.75" customHeight="1">
      <c r="H176" s="3"/>
      <c r="J176" s="5"/>
    </row>
    <row r="177" ht="15.75" customHeight="1">
      <c r="H177" s="3"/>
      <c r="J177" s="5"/>
    </row>
    <row r="178" ht="15.75" customHeight="1">
      <c r="H178" s="3"/>
      <c r="J178" s="5"/>
    </row>
    <row r="179" ht="15.75" customHeight="1">
      <c r="H179" s="3"/>
      <c r="J179" s="5"/>
    </row>
    <row r="180" ht="15.75" customHeight="1">
      <c r="H180" s="3"/>
      <c r="J180" s="5"/>
    </row>
    <row r="181" ht="15.75" customHeight="1">
      <c r="H181" s="3"/>
      <c r="J181" s="5"/>
    </row>
    <row r="182" ht="15.75" customHeight="1">
      <c r="H182" s="3"/>
      <c r="J182" s="5"/>
    </row>
    <row r="183" ht="15.75" customHeight="1">
      <c r="H183" s="3"/>
      <c r="J183" s="5"/>
    </row>
    <row r="184" ht="15.75" customHeight="1">
      <c r="H184" s="3"/>
      <c r="J184" s="5"/>
    </row>
    <row r="185" ht="15.75" customHeight="1">
      <c r="H185" s="3"/>
      <c r="J185" s="5"/>
    </row>
    <row r="186" ht="15.75" customHeight="1">
      <c r="H186" s="3"/>
      <c r="J186" s="5"/>
    </row>
    <row r="187" ht="15.75" customHeight="1">
      <c r="H187" s="3"/>
      <c r="J187" s="5"/>
    </row>
    <row r="188" ht="15.75" customHeight="1">
      <c r="H188" s="3"/>
      <c r="J188" s="5"/>
    </row>
    <row r="189" ht="15.75" customHeight="1">
      <c r="H189" s="3"/>
      <c r="J189" s="5"/>
    </row>
    <row r="190" ht="15.75" customHeight="1">
      <c r="H190" s="3"/>
      <c r="J190" s="5"/>
    </row>
    <row r="191" ht="15.75" customHeight="1">
      <c r="H191" s="3"/>
      <c r="J191" s="5"/>
    </row>
    <row r="192" ht="15.75" customHeight="1">
      <c r="H192" s="3"/>
      <c r="J192" s="5"/>
    </row>
    <row r="193" ht="15.75" customHeight="1">
      <c r="H193" s="3"/>
      <c r="J193" s="5"/>
    </row>
    <row r="194" ht="15.75" customHeight="1">
      <c r="H194" s="3"/>
      <c r="J194" s="5"/>
    </row>
    <row r="195" ht="15.75" customHeight="1">
      <c r="H195" s="3"/>
      <c r="J195" s="5"/>
    </row>
    <row r="196" ht="15.75" customHeight="1">
      <c r="H196" s="3"/>
      <c r="J196" s="5"/>
    </row>
    <row r="197" ht="15.75" customHeight="1">
      <c r="H197" s="3"/>
      <c r="J197" s="5"/>
    </row>
    <row r="198" ht="15.75" customHeight="1">
      <c r="H198" s="3"/>
      <c r="J198" s="5"/>
    </row>
    <row r="199" ht="15.75" customHeight="1">
      <c r="H199" s="3"/>
      <c r="J199" s="5"/>
    </row>
    <row r="200" ht="15.75" customHeight="1">
      <c r="H200" s="3"/>
      <c r="J200" s="5"/>
    </row>
    <row r="201" ht="15.75" customHeight="1">
      <c r="H201" s="3"/>
      <c r="J201" s="5"/>
    </row>
    <row r="202" ht="15.75" customHeight="1">
      <c r="H202" s="3"/>
      <c r="J202" s="5"/>
    </row>
    <row r="203" ht="15.75" customHeight="1">
      <c r="H203" s="3"/>
      <c r="J203" s="5"/>
    </row>
    <row r="204" ht="15.75" customHeight="1">
      <c r="H204" s="3"/>
      <c r="J204" s="5"/>
    </row>
    <row r="205" ht="15.75" customHeight="1">
      <c r="H205" s="3"/>
      <c r="J205" s="5"/>
    </row>
    <row r="206" ht="15.75" customHeight="1">
      <c r="H206" s="3"/>
      <c r="J206" s="5"/>
    </row>
    <row r="207" ht="15.75" customHeight="1">
      <c r="H207" s="3"/>
      <c r="J207" s="5"/>
    </row>
    <row r="208" ht="15.75" customHeight="1">
      <c r="H208" s="3"/>
      <c r="J208" s="5"/>
    </row>
    <row r="209" ht="15.75" customHeight="1">
      <c r="H209" s="3"/>
      <c r="J209" s="5"/>
    </row>
    <row r="210" ht="15.75" customHeight="1">
      <c r="H210" s="3"/>
      <c r="J210" s="5"/>
    </row>
    <row r="211" ht="15.75" customHeight="1">
      <c r="H211" s="3"/>
      <c r="J211" s="5"/>
    </row>
    <row r="212" ht="15.75" customHeight="1">
      <c r="H212" s="3"/>
      <c r="J212" s="5"/>
    </row>
    <row r="213" ht="15.75" customHeight="1">
      <c r="H213" s="3"/>
      <c r="J213" s="5"/>
    </row>
    <row r="214" ht="15.75" customHeight="1">
      <c r="H214" s="3"/>
      <c r="J214" s="5"/>
    </row>
    <row r="215" ht="15.75" customHeight="1">
      <c r="H215" s="3"/>
      <c r="J215" s="5"/>
    </row>
    <row r="216" ht="15.75" customHeight="1">
      <c r="H216" s="3"/>
      <c r="J216" s="5"/>
    </row>
    <row r="217" ht="15.75" customHeight="1">
      <c r="H217" s="3"/>
      <c r="J217" s="5"/>
    </row>
    <row r="218" ht="15.75" customHeight="1">
      <c r="H218" s="3"/>
      <c r="J218" s="5"/>
    </row>
    <row r="219" ht="15.75" customHeight="1">
      <c r="H219" s="3"/>
      <c r="J219" s="5"/>
    </row>
    <row r="220" ht="15.75" customHeight="1">
      <c r="H220" s="3"/>
      <c r="J220" s="5"/>
    </row>
    <row r="221" ht="15.75" customHeight="1">
      <c r="H221" s="3"/>
      <c r="J221" s="5"/>
    </row>
    <row r="222" ht="15.75" customHeight="1">
      <c r="H222" s="3"/>
      <c r="J222" s="5"/>
    </row>
    <row r="223" ht="15.75" customHeight="1">
      <c r="H223" s="3"/>
      <c r="J223" s="5"/>
    </row>
    <row r="224" ht="15.75" customHeight="1">
      <c r="H224" s="3"/>
      <c r="J224" s="5"/>
    </row>
    <row r="225" ht="15.75" customHeight="1">
      <c r="H225" s="3"/>
      <c r="J225" s="5"/>
    </row>
    <row r="226" ht="15.75" customHeight="1">
      <c r="H226" s="3"/>
      <c r="J226" s="5"/>
    </row>
    <row r="227" ht="15.75" customHeight="1">
      <c r="H227" s="3"/>
      <c r="J227" s="5"/>
    </row>
    <row r="228" ht="15.75" customHeight="1">
      <c r="H228" s="3"/>
      <c r="J228" s="5"/>
    </row>
    <row r="229" ht="15.75" customHeight="1">
      <c r="H229" s="3"/>
      <c r="J229" s="5"/>
    </row>
    <row r="230" ht="15.75" customHeight="1">
      <c r="H230" s="3"/>
      <c r="J230" s="5"/>
    </row>
    <row r="231" ht="15.75" customHeight="1">
      <c r="H231" s="3"/>
      <c r="J231" s="5"/>
    </row>
    <row r="232" ht="15.75" customHeight="1">
      <c r="H232" s="3"/>
      <c r="J232" s="5"/>
    </row>
    <row r="233" ht="15.75" customHeight="1">
      <c r="H233" s="3"/>
      <c r="J233" s="5"/>
    </row>
    <row r="234" ht="15.75" customHeight="1">
      <c r="H234" s="3"/>
      <c r="J234" s="5"/>
    </row>
    <row r="235" ht="15.75" customHeight="1">
      <c r="H235" s="3"/>
      <c r="J235" s="5"/>
    </row>
    <row r="236" ht="15.75" customHeight="1">
      <c r="H236" s="3"/>
      <c r="J236" s="5"/>
    </row>
    <row r="237" ht="15.75" customHeight="1">
      <c r="H237" s="3"/>
      <c r="J237" s="5"/>
    </row>
    <row r="238" ht="15.75" customHeight="1">
      <c r="H238" s="3"/>
      <c r="J238" s="5"/>
    </row>
    <row r="239" ht="15.75" customHeight="1">
      <c r="H239" s="3"/>
      <c r="J239" s="5"/>
    </row>
    <row r="240" ht="15.75" customHeight="1">
      <c r="H240" s="3"/>
      <c r="J240" s="5"/>
    </row>
    <row r="241" ht="15.75" customHeight="1">
      <c r="H241" s="3"/>
      <c r="J241" s="5"/>
    </row>
    <row r="242" ht="15.75" customHeight="1">
      <c r="H242" s="3"/>
      <c r="J242" s="5"/>
    </row>
    <row r="243" ht="15.75" customHeight="1">
      <c r="H243" s="3"/>
      <c r="J243" s="5"/>
    </row>
    <row r="244" ht="15.75" customHeight="1">
      <c r="H244" s="3"/>
      <c r="J244" s="5"/>
    </row>
    <row r="245" ht="15.75" customHeight="1">
      <c r="H245" s="3"/>
      <c r="J245" s="5"/>
    </row>
    <row r="246" ht="15.75" customHeight="1">
      <c r="H246" s="3"/>
      <c r="J246" s="5"/>
    </row>
    <row r="247" ht="15.75" customHeight="1">
      <c r="H247" s="3"/>
      <c r="J247" s="5"/>
    </row>
    <row r="248" ht="15.75" customHeight="1">
      <c r="H248" s="3"/>
      <c r="J248" s="5"/>
    </row>
    <row r="249" ht="15.75" customHeight="1">
      <c r="H249" s="3"/>
      <c r="J249" s="5"/>
    </row>
    <row r="250" ht="15.75" customHeight="1">
      <c r="H250" s="3"/>
      <c r="J250" s="5"/>
    </row>
    <row r="251" ht="15.75" customHeight="1">
      <c r="H251" s="3"/>
      <c r="J251" s="5"/>
    </row>
    <row r="252" ht="15.75" customHeight="1">
      <c r="H252" s="3"/>
      <c r="J252" s="5"/>
    </row>
    <row r="253" ht="15.75" customHeight="1">
      <c r="H253" s="3"/>
      <c r="J253" s="5"/>
    </row>
    <row r="254" ht="15.75" customHeight="1">
      <c r="H254" s="3"/>
      <c r="J254" s="5"/>
    </row>
    <row r="255" ht="15.75" customHeight="1">
      <c r="H255" s="3"/>
      <c r="J255" s="5"/>
    </row>
    <row r="256" ht="15.75" customHeight="1">
      <c r="H256" s="3"/>
      <c r="J256" s="5"/>
    </row>
    <row r="257" ht="15.75" customHeight="1">
      <c r="H257" s="3"/>
      <c r="J257" s="5"/>
    </row>
    <row r="258" ht="15.75" customHeight="1">
      <c r="H258" s="3"/>
      <c r="J258" s="5"/>
    </row>
    <row r="259" ht="15.75" customHeight="1">
      <c r="H259" s="3"/>
      <c r="J259" s="5"/>
    </row>
    <row r="260" ht="15.75" customHeight="1">
      <c r="H260" s="3"/>
      <c r="J260" s="5"/>
    </row>
    <row r="261" ht="15.75" customHeight="1">
      <c r="H261" s="3"/>
      <c r="J261" s="5"/>
    </row>
    <row r="262" ht="15.75" customHeight="1">
      <c r="H262" s="3"/>
      <c r="J262" s="5"/>
    </row>
    <row r="263" ht="15.75" customHeight="1">
      <c r="H263" s="3"/>
      <c r="J263" s="5"/>
    </row>
    <row r="264" ht="15.75" customHeight="1">
      <c r="H264" s="3"/>
      <c r="J264" s="5"/>
    </row>
    <row r="265" ht="15.75" customHeight="1">
      <c r="H265" s="3"/>
      <c r="J265" s="5"/>
    </row>
    <row r="266" ht="15.75" customHeight="1">
      <c r="H266" s="3"/>
      <c r="J266" s="5"/>
    </row>
    <row r="267" ht="15.75" customHeight="1">
      <c r="H267" s="3"/>
      <c r="J267" s="5"/>
    </row>
    <row r="268" ht="15.75" customHeight="1">
      <c r="H268" s="3"/>
      <c r="J268" s="5"/>
    </row>
    <row r="269" ht="15.75" customHeight="1">
      <c r="H269" s="3"/>
      <c r="J269" s="5"/>
    </row>
    <row r="270" ht="15.75" customHeight="1">
      <c r="H270" s="3"/>
      <c r="J270" s="5"/>
    </row>
    <row r="271" ht="15.75" customHeight="1">
      <c r="H271" s="3"/>
      <c r="J271" s="5"/>
    </row>
    <row r="272" ht="15.75" customHeight="1">
      <c r="H272" s="3"/>
      <c r="J272" s="5"/>
    </row>
    <row r="273" ht="15.75" customHeight="1">
      <c r="H273" s="3"/>
      <c r="J273" s="5"/>
    </row>
    <row r="274" ht="15.75" customHeight="1">
      <c r="H274" s="3"/>
      <c r="J274" s="5"/>
    </row>
    <row r="275" ht="15.75" customHeight="1">
      <c r="H275" s="3"/>
      <c r="J275" s="5"/>
    </row>
    <row r="276" ht="15.75" customHeight="1">
      <c r="H276" s="3"/>
      <c r="J276" s="5"/>
    </row>
    <row r="277" ht="15.75" customHeight="1">
      <c r="H277" s="3"/>
      <c r="J277" s="5"/>
    </row>
    <row r="278" ht="15.75" customHeight="1">
      <c r="H278" s="3"/>
      <c r="J278" s="5"/>
    </row>
    <row r="279" ht="15.75" customHeight="1">
      <c r="H279" s="3"/>
      <c r="J279" s="5"/>
    </row>
    <row r="280" ht="15.75" customHeight="1">
      <c r="H280" s="3"/>
      <c r="J280" s="5"/>
    </row>
    <row r="281" ht="15.75" customHeight="1">
      <c r="H281" s="3"/>
      <c r="J281" s="5"/>
    </row>
    <row r="282" ht="15.75" customHeight="1">
      <c r="H282" s="3"/>
      <c r="J282" s="5"/>
    </row>
    <row r="283" ht="15.75" customHeight="1">
      <c r="H283" s="3"/>
      <c r="J283" s="5"/>
    </row>
    <row r="284" ht="15.75" customHeight="1">
      <c r="H284" s="3"/>
      <c r="J284" s="5"/>
    </row>
    <row r="285" ht="15.75" customHeight="1">
      <c r="H285" s="3"/>
      <c r="J285" s="5"/>
    </row>
    <row r="286" ht="15.75" customHeight="1">
      <c r="H286" s="3"/>
      <c r="J286" s="5"/>
    </row>
    <row r="287" ht="15.75" customHeight="1">
      <c r="H287" s="3"/>
      <c r="J287" s="5"/>
    </row>
    <row r="288" ht="15.75" customHeight="1">
      <c r="H288" s="3"/>
      <c r="J288" s="5"/>
    </row>
    <row r="289" ht="15.75" customHeight="1">
      <c r="H289" s="3"/>
      <c r="J289" s="5"/>
    </row>
    <row r="290" ht="15.75" customHeight="1">
      <c r="H290" s="3"/>
      <c r="J290" s="5"/>
    </row>
    <row r="291" ht="15.75" customHeight="1">
      <c r="H291" s="3"/>
      <c r="J291" s="5"/>
    </row>
    <row r="292" ht="15.75" customHeight="1">
      <c r="H292" s="3"/>
      <c r="J292" s="5"/>
    </row>
    <row r="293" ht="15.75" customHeight="1">
      <c r="H293" s="3"/>
      <c r="J293" s="5"/>
    </row>
    <row r="294" ht="15.75" customHeight="1">
      <c r="H294" s="3"/>
      <c r="J294" s="5"/>
    </row>
    <row r="295" ht="15.75" customHeight="1">
      <c r="H295" s="3"/>
      <c r="J295" s="5"/>
    </row>
    <row r="296" ht="15.75" customHeight="1">
      <c r="H296" s="3"/>
      <c r="J296" s="5"/>
    </row>
    <row r="297" ht="15.75" customHeight="1">
      <c r="H297" s="3"/>
      <c r="J297" s="5"/>
    </row>
    <row r="298" ht="15.75" customHeight="1">
      <c r="H298" s="3"/>
      <c r="J298" s="5"/>
    </row>
    <row r="299" ht="15.75" customHeight="1">
      <c r="H299" s="3"/>
      <c r="J299" s="5"/>
    </row>
    <row r="300" ht="15.75" customHeight="1">
      <c r="H300" s="3"/>
      <c r="J300" s="5"/>
    </row>
    <row r="301" ht="15.75" customHeight="1">
      <c r="H301" s="3"/>
      <c r="J301" s="5"/>
    </row>
    <row r="302" ht="15.75" customHeight="1">
      <c r="H302" s="3"/>
      <c r="J302" s="5"/>
    </row>
    <row r="303" ht="15.75" customHeight="1">
      <c r="H303" s="3"/>
      <c r="J303" s="5"/>
    </row>
    <row r="304" ht="15.75" customHeight="1">
      <c r="H304" s="3"/>
      <c r="J304" s="5"/>
    </row>
    <row r="305" ht="15.75" customHeight="1">
      <c r="H305" s="3"/>
      <c r="J305" s="5"/>
    </row>
    <row r="306" ht="15.75" customHeight="1">
      <c r="H306" s="3"/>
      <c r="J306" s="5"/>
    </row>
    <row r="307" ht="15.75" customHeight="1">
      <c r="H307" s="3"/>
      <c r="J307" s="5"/>
    </row>
    <row r="308" ht="15.75" customHeight="1">
      <c r="H308" s="3"/>
      <c r="J308" s="5"/>
    </row>
    <row r="309" ht="15.75" customHeight="1">
      <c r="H309" s="3"/>
      <c r="J309" s="5"/>
    </row>
    <row r="310" ht="15.75" customHeight="1">
      <c r="H310" s="3"/>
      <c r="J310" s="5"/>
    </row>
    <row r="311" ht="15.75" customHeight="1">
      <c r="H311" s="3"/>
      <c r="J311" s="5"/>
    </row>
    <row r="312" ht="15.75" customHeight="1">
      <c r="H312" s="3"/>
      <c r="J312" s="5"/>
    </row>
    <row r="313" ht="15.75" customHeight="1">
      <c r="H313" s="3"/>
      <c r="J313" s="5"/>
    </row>
    <row r="314" ht="15.75" customHeight="1">
      <c r="H314" s="3"/>
      <c r="J314" s="5"/>
    </row>
    <row r="315" ht="15.75" customHeight="1">
      <c r="H315" s="3"/>
      <c r="J315" s="5"/>
    </row>
    <row r="316" ht="15.75" customHeight="1">
      <c r="H316" s="3"/>
      <c r="J316" s="5"/>
    </row>
    <row r="317" ht="15.75" customHeight="1">
      <c r="H317" s="3"/>
      <c r="J317" s="5"/>
    </row>
    <row r="318" ht="15.75" customHeight="1">
      <c r="H318" s="3"/>
      <c r="J318" s="5"/>
    </row>
    <row r="319" ht="15.75" customHeight="1">
      <c r="H319" s="3"/>
      <c r="J319" s="5"/>
    </row>
    <row r="320" ht="15.75" customHeight="1">
      <c r="H320" s="3"/>
      <c r="J320" s="5"/>
    </row>
    <row r="321" ht="15.75" customHeight="1">
      <c r="H321" s="3"/>
      <c r="J321" s="5"/>
    </row>
    <row r="322" ht="15.75" customHeight="1">
      <c r="H322" s="3"/>
      <c r="J322" s="5"/>
    </row>
    <row r="323" ht="15.75" customHeight="1">
      <c r="H323" s="3"/>
      <c r="J323" s="5"/>
    </row>
    <row r="324" ht="15.75" customHeight="1">
      <c r="H324" s="3"/>
      <c r="J324" s="5"/>
    </row>
    <row r="325" ht="15.75" customHeight="1">
      <c r="H325" s="3"/>
      <c r="J325" s="5"/>
    </row>
    <row r="326" ht="15.75" customHeight="1">
      <c r="H326" s="3"/>
      <c r="J326" s="5"/>
    </row>
    <row r="327" ht="15.75" customHeight="1">
      <c r="H327" s="3"/>
      <c r="J327" s="5"/>
    </row>
    <row r="328" ht="15.75" customHeight="1">
      <c r="H328" s="3"/>
      <c r="J328" s="5"/>
    </row>
    <row r="329" ht="15.75" customHeight="1">
      <c r="H329" s="3"/>
      <c r="J329" s="5"/>
    </row>
    <row r="330" ht="15.75" customHeight="1">
      <c r="H330" s="3"/>
      <c r="J330" s="5"/>
    </row>
    <row r="331" ht="15.75" customHeight="1">
      <c r="H331" s="3"/>
      <c r="J331" s="5"/>
    </row>
    <row r="332" ht="15.75" customHeight="1">
      <c r="H332" s="3"/>
      <c r="J332" s="5"/>
    </row>
    <row r="333" ht="15.75" customHeight="1">
      <c r="H333" s="3"/>
      <c r="J333" s="5"/>
    </row>
    <row r="334" ht="15.75" customHeight="1">
      <c r="H334" s="3"/>
      <c r="J334" s="5"/>
    </row>
    <row r="335" ht="15.75" customHeight="1">
      <c r="H335" s="3"/>
      <c r="J335" s="5"/>
    </row>
    <row r="336" ht="15.75" customHeight="1">
      <c r="H336" s="3"/>
      <c r="J336" s="5"/>
    </row>
    <row r="337" ht="15.75" customHeight="1">
      <c r="H337" s="3"/>
      <c r="J337" s="5"/>
    </row>
    <row r="338" ht="15.75" customHeight="1">
      <c r="H338" s="3"/>
      <c r="J338" s="5"/>
    </row>
    <row r="339" ht="15.75" customHeight="1">
      <c r="H339" s="3"/>
      <c r="J339" s="5"/>
    </row>
    <row r="340" ht="15.75" customHeight="1">
      <c r="H340" s="3"/>
      <c r="J340" s="5"/>
    </row>
    <row r="341" ht="15.75" customHeight="1">
      <c r="H341" s="3"/>
      <c r="J341" s="5"/>
    </row>
    <row r="342" ht="15.75" customHeight="1">
      <c r="H342" s="3"/>
      <c r="J342" s="5"/>
    </row>
    <row r="343" ht="15.75" customHeight="1">
      <c r="H343" s="3"/>
      <c r="J343" s="5"/>
    </row>
    <row r="344" ht="15.75" customHeight="1">
      <c r="H344" s="3"/>
      <c r="J344" s="5"/>
    </row>
    <row r="345" ht="15.75" customHeight="1">
      <c r="H345" s="3"/>
      <c r="J345" s="5"/>
    </row>
    <row r="346" ht="15.75" customHeight="1">
      <c r="H346" s="3"/>
      <c r="J346" s="5"/>
    </row>
    <row r="347" ht="15.75" customHeight="1">
      <c r="H347" s="3"/>
      <c r="J347" s="5"/>
    </row>
    <row r="348" ht="15.75" customHeight="1">
      <c r="H348" s="3"/>
      <c r="J348" s="5"/>
    </row>
    <row r="349" ht="15.75" customHeight="1">
      <c r="H349" s="3"/>
      <c r="J349" s="5"/>
    </row>
    <row r="350" ht="15.75" customHeight="1">
      <c r="H350" s="3"/>
      <c r="J350" s="5"/>
    </row>
    <row r="351" ht="15.75" customHeight="1">
      <c r="H351" s="3"/>
      <c r="J351" s="5"/>
    </row>
    <row r="352" ht="15.75" customHeight="1">
      <c r="H352" s="3"/>
      <c r="J352" s="5"/>
    </row>
    <row r="353" ht="15.75" customHeight="1">
      <c r="H353" s="3"/>
      <c r="J353" s="5"/>
    </row>
    <row r="354" ht="15.75" customHeight="1">
      <c r="H354" s="3"/>
      <c r="J354" s="5"/>
    </row>
    <row r="355" ht="15.75" customHeight="1">
      <c r="H355" s="3"/>
      <c r="J355" s="5"/>
    </row>
    <row r="356" ht="15.75" customHeight="1">
      <c r="H356" s="3"/>
      <c r="J356" s="5"/>
    </row>
    <row r="357" ht="15.75" customHeight="1">
      <c r="H357" s="3"/>
      <c r="J357" s="5"/>
    </row>
    <row r="358" ht="15.75" customHeight="1">
      <c r="H358" s="3"/>
      <c r="J358" s="5"/>
    </row>
    <row r="359" ht="15.75" customHeight="1">
      <c r="H359" s="3"/>
      <c r="J359" s="5"/>
    </row>
    <row r="360" ht="15.75" customHeight="1">
      <c r="H360" s="3"/>
      <c r="J360" s="5"/>
    </row>
    <row r="361" ht="15.75" customHeight="1">
      <c r="H361" s="3"/>
      <c r="J361" s="5"/>
    </row>
    <row r="362" ht="15.75" customHeight="1">
      <c r="H362" s="3"/>
      <c r="J362" s="5"/>
    </row>
    <row r="363" ht="15.75" customHeight="1">
      <c r="H363" s="3"/>
      <c r="J363" s="5"/>
    </row>
    <row r="364" ht="15.75" customHeight="1">
      <c r="H364" s="3"/>
      <c r="J364" s="5"/>
    </row>
    <row r="365" ht="15.75" customHeight="1">
      <c r="H365" s="3"/>
      <c r="J365" s="5"/>
    </row>
    <row r="366" ht="15.75" customHeight="1">
      <c r="H366" s="3"/>
      <c r="J366" s="5"/>
    </row>
    <row r="367" ht="15.75" customHeight="1">
      <c r="H367" s="3"/>
      <c r="J367" s="5"/>
    </row>
    <row r="368" ht="15.75" customHeight="1">
      <c r="H368" s="3"/>
      <c r="J368" s="5"/>
    </row>
    <row r="369" ht="15.75" customHeight="1">
      <c r="H369" s="3"/>
      <c r="J369" s="5"/>
    </row>
    <row r="370" ht="15.75" customHeight="1">
      <c r="H370" s="3"/>
      <c r="J370" s="5"/>
    </row>
    <row r="371" ht="15.75" customHeight="1">
      <c r="H371" s="3"/>
      <c r="J371" s="5"/>
    </row>
    <row r="372" ht="15.75" customHeight="1">
      <c r="H372" s="3"/>
      <c r="J372" s="5"/>
    </row>
    <row r="373" ht="15.75" customHeight="1">
      <c r="H373" s="3"/>
      <c r="J373" s="5"/>
    </row>
    <row r="374" ht="15.75" customHeight="1">
      <c r="H374" s="3"/>
      <c r="J374" s="5"/>
    </row>
    <row r="375" ht="15.75" customHeight="1">
      <c r="H375" s="3"/>
      <c r="J375" s="5"/>
    </row>
    <row r="376" ht="15.75" customHeight="1">
      <c r="H376" s="3"/>
      <c r="J376" s="5"/>
    </row>
    <row r="377" ht="15.75" customHeight="1">
      <c r="H377" s="3"/>
      <c r="J377" s="5"/>
    </row>
    <row r="378" ht="15.75" customHeight="1">
      <c r="H378" s="3"/>
      <c r="J378" s="5"/>
    </row>
    <row r="379" ht="15.75" customHeight="1">
      <c r="H379" s="3"/>
      <c r="J379" s="5"/>
    </row>
    <row r="380" ht="15.75" customHeight="1">
      <c r="H380" s="3"/>
      <c r="J380" s="5"/>
    </row>
    <row r="381" ht="15.75" customHeight="1">
      <c r="H381" s="3"/>
      <c r="J381" s="5"/>
    </row>
    <row r="382" ht="15.75" customHeight="1">
      <c r="H382" s="3"/>
      <c r="J382" s="5"/>
    </row>
    <row r="383" ht="15.75" customHeight="1">
      <c r="H383" s="3"/>
      <c r="J383" s="5"/>
    </row>
    <row r="384" ht="15.75" customHeight="1">
      <c r="H384" s="3"/>
      <c r="J384" s="5"/>
    </row>
    <row r="385" ht="15.75" customHeight="1">
      <c r="H385" s="3"/>
      <c r="J385" s="5"/>
    </row>
    <row r="386" ht="15.75" customHeight="1">
      <c r="H386" s="3"/>
      <c r="J386" s="5"/>
    </row>
    <row r="387" ht="15.75" customHeight="1">
      <c r="H387" s="3"/>
      <c r="J387" s="5"/>
    </row>
    <row r="388" ht="15.75" customHeight="1">
      <c r="H388" s="3"/>
      <c r="J388" s="5"/>
    </row>
    <row r="389" ht="15.75" customHeight="1">
      <c r="H389" s="3"/>
      <c r="J389" s="5"/>
    </row>
    <row r="390" ht="15.75" customHeight="1">
      <c r="H390" s="3"/>
      <c r="J390" s="5"/>
    </row>
    <row r="391" ht="15.75" customHeight="1">
      <c r="H391" s="3"/>
      <c r="J391" s="5"/>
    </row>
    <row r="392" ht="15.75" customHeight="1">
      <c r="H392" s="3"/>
      <c r="J392" s="5"/>
    </row>
    <row r="393" ht="15.75" customHeight="1">
      <c r="H393" s="3"/>
      <c r="J393" s="5"/>
    </row>
    <row r="394" ht="15.75" customHeight="1">
      <c r="H394" s="3"/>
      <c r="J394" s="5"/>
    </row>
    <row r="395" ht="15.75" customHeight="1">
      <c r="H395" s="3"/>
      <c r="J395" s="5"/>
    </row>
    <row r="396" ht="15.75" customHeight="1">
      <c r="H396" s="3"/>
      <c r="J396" s="5"/>
    </row>
    <row r="397" ht="15.75" customHeight="1">
      <c r="H397" s="3"/>
      <c r="J397" s="5"/>
    </row>
    <row r="398" ht="15.75" customHeight="1">
      <c r="H398" s="3"/>
      <c r="J398" s="5"/>
    </row>
    <row r="399" ht="15.75" customHeight="1">
      <c r="H399" s="3"/>
      <c r="J399" s="5"/>
    </row>
    <row r="400" ht="15.75" customHeight="1">
      <c r="H400" s="3"/>
      <c r="J400" s="5"/>
    </row>
    <row r="401" ht="15.75" customHeight="1">
      <c r="H401" s="3"/>
      <c r="J401" s="5"/>
    </row>
    <row r="402" ht="15.75" customHeight="1">
      <c r="H402" s="3"/>
      <c r="J402" s="5"/>
    </row>
    <row r="403" ht="15.75" customHeight="1">
      <c r="H403" s="3"/>
      <c r="J403" s="5"/>
    </row>
    <row r="404" ht="15.75" customHeight="1">
      <c r="H404" s="3"/>
      <c r="J404" s="5"/>
    </row>
    <row r="405" ht="15.75" customHeight="1">
      <c r="H405" s="3"/>
      <c r="J405" s="5"/>
    </row>
    <row r="406" ht="15.75" customHeight="1">
      <c r="H406" s="3"/>
      <c r="J406" s="5"/>
    </row>
    <row r="407" ht="15.75" customHeight="1">
      <c r="H407" s="3"/>
      <c r="J407" s="5"/>
    </row>
    <row r="408" ht="15.75" customHeight="1">
      <c r="H408" s="3"/>
      <c r="J408" s="5"/>
    </row>
    <row r="409" ht="15.75" customHeight="1">
      <c r="H409" s="3"/>
      <c r="J409" s="5"/>
    </row>
    <row r="410" ht="15.75" customHeight="1">
      <c r="H410" s="3"/>
      <c r="J410" s="5"/>
    </row>
    <row r="411" ht="15.75" customHeight="1">
      <c r="H411" s="3"/>
      <c r="J411" s="5"/>
    </row>
    <row r="412" ht="15.75" customHeight="1">
      <c r="H412" s="3"/>
      <c r="J412" s="5"/>
    </row>
    <row r="413" ht="15.75" customHeight="1">
      <c r="H413" s="3"/>
      <c r="J413" s="5"/>
    </row>
    <row r="414" ht="15.75" customHeight="1">
      <c r="H414" s="3"/>
      <c r="J414" s="5"/>
    </row>
    <row r="415" ht="15.75" customHeight="1">
      <c r="H415" s="3"/>
      <c r="J415" s="5"/>
    </row>
    <row r="416" ht="15.75" customHeight="1">
      <c r="H416" s="3"/>
      <c r="J416" s="5"/>
    </row>
    <row r="417" ht="15.75" customHeight="1">
      <c r="H417" s="3"/>
      <c r="J417" s="5"/>
    </row>
    <row r="418" ht="15.75" customHeight="1">
      <c r="H418" s="3"/>
      <c r="J418" s="5"/>
    </row>
    <row r="419" ht="15.75" customHeight="1">
      <c r="H419" s="3"/>
      <c r="J419" s="5"/>
    </row>
    <row r="420" ht="15.75" customHeight="1">
      <c r="H420" s="3"/>
      <c r="J420" s="5"/>
    </row>
    <row r="421" ht="15.75" customHeight="1">
      <c r="H421" s="3"/>
      <c r="J421" s="5"/>
    </row>
    <row r="422" ht="15.75" customHeight="1">
      <c r="H422" s="3"/>
      <c r="J422" s="5"/>
    </row>
    <row r="423" ht="15.75" customHeight="1">
      <c r="H423" s="3"/>
      <c r="J423" s="5"/>
    </row>
    <row r="424" ht="15.75" customHeight="1">
      <c r="H424" s="3"/>
      <c r="J424" s="5"/>
    </row>
    <row r="425" ht="15.75" customHeight="1">
      <c r="H425" s="3"/>
      <c r="J425" s="5"/>
    </row>
    <row r="426" ht="15.75" customHeight="1">
      <c r="H426" s="3"/>
      <c r="J426" s="5"/>
    </row>
    <row r="427" ht="15.75" customHeight="1">
      <c r="H427" s="3"/>
      <c r="J427" s="5"/>
    </row>
    <row r="428" ht="15.75" customHeight="1">
      <c r="H428" s="3"/>
      <c r="J428" s="5"/>
    </row>
    <row r="429" ht="15.75" customHeight="1">
      <c r="H429" s="3"/>
      <c r="J429" s="5"/>
    </row>
    <row r="430" ht="15.75" customHeight="1">
      <c r="H430" s="3"/>
      <c r="J430" s="5"/>
    </row>
    <row r="431" ht="15.75" customHeight="1">
      <c r="H431" s="3"/>
      <c r="J431" s="5"/>
    </row>
    <row r="432" ht="15.75" customHeight="1">
      <c r="H432" s="3"/>
      <c r="J432" s="5"/>
    </row>
    <row r="433" ht="15.75" customHeight="1">
      <c r="H433" s="3"/>
      <c r="J433" s="5"/>
    </row>
    <row r="434" ht="15.75" customHeight="1">
      <c r="H434" s="3"/>
      <c r="J434" s="5"/>
    </row>
    <row r="435" ht="15.75" customHeight="1">
      <c r="H435" s="3"/>
      <c r="J435" s="5"/>
    </row>
    <row r="436" ht="15.75" customHeight="1">
      <c r="H436" s="3"/>
      <c r="J436" s="5"/>
    </row>
    <row r="437" ht="15.75" customHeight="1">
      <c r="H437" s="3"/>
      <c r="J437" s="5"/>
    </row>
    <row r="438" ht="15.75" customHeight="1">
      <c r="H438" s="3"/>
      <c r="J438" s="5"/>
    </row>
    <row r="439" ht="15.75" customHeight="1">
      <c r="H439" s="3"/>
      <c r="J439" s="5"/>
    </row>
    <row r="440" ht="15.75" customHeight="1">
      <c r="H440" s="3"/>
      <c r="J440" s="5"/>
    </row>
    <row r="441" ht="15.75" customHeight="1">
      <c r="H441" s="3"/>
      <c r="J441" s="5"/>
    </row>
    <row r="442" ht="15.75" customHeight="1">
      <c r="H442" s="3"/>
      <c r="J442" s="5"/>
    </row>
    <row r="443" ht="15.75" customHeight="1">
      <c r="H443" s="3"/>
      <c r="J443" s="5"/>
    </row>
    <row r="444" ht="15.75" customHeight="1">
      <c r="H444" s="3"/>
      <c r="J444" s="5"/>
    </row>
    <row r="445" ht="15.75" customHeight="1">
      <c r="H445" s="3"/>
      <c r="J445" s="5"/>
    </row>
    <row r="446" ht="15.75" customHeight="1">
      <c r="H446" s="3"/>
      <c r="J446" s="5"/>
    </row>
    <row r="447" ht="15.75" customHeight="1">
      <c r="H447" s="3"/>
      <c r="J447" s="5"/>
    </row>
    <row r="448" ht="15.75" customHeight="1">
      <c r="H448" s="3"/>
      <c r="J448" s="5"/>
    </row>
    <row r="449" ht="15.75" customHeight="1">
      <c r="H449" s="3"/>
      <c r="J449" s="5"/>
    </row>
    <row r="450" ht="15.75" customHeight="1">
      <c r="H450" s="3"/>
      <c r="J450" s="5"/>
    </row>
    <row r="451" ht="15.75" customHeight="1">
      <c r="H451" s="3"/>
      <c r="J451" s="5"/>
    </row>
    <row r="452" ht="15.75" customHeight="1">
      <c r="H452" s="3"/>
      <c r="J452" s="5"/>
    </row>
    <row r="453" ht="15.75" customHeight="1">
      <c r="H453" s="3"/>
      <c r="J453" s="5"/>
    </row>
    <row r="454" ht="15.75" customHeight="1">
      <c r="H454" s="3"/>
      <c r="J454" s="5"/>
    </row>
    <row r="455" ht="15.75" customHeight="1">
      <c r="H455" s="3"/>
      <c r="J455" s="5"/>
    </row>
    <row r="456" ht="15.75" customHeight="1">
      <c r="H456" s="3"/>
      <c r="J456" s="5"/>
    </row>
    <row r="457" ht="15.75" customHeight="1">
      <c r="H457" s="3"/>
      <c r="J457" s="5"/>
    </row>
    <row r="458" ht="15.75" customHeight="1">
      <c r="H458" s="3"/>
      <c r="J458" s="5"/>
    </row>
    <row r="459" ht="15.75" customHeight="1">
      <c r="H459" s="3"/>
      <c r="J459" s="5"/>
    </row>
    <row r="460" ht="15.75" customHeight="1">
      <c r="H460" s="3"/>
      <c r="J460" s="5"/>
    </row>
    <row r="461" ht="15.75" customHeight="1">
      <c r="H461" s="3"/>
      <c r="J461" s="5"/>
    </row>
    <row r="462" ht="15.75" customHeight="1">
      <c r="H462" s="3"/>
      <c r="J462" s="5"/>
    </row>
    <row r="463" ht="15.75" customHeight="1">
      <c r="H463" s="3"/>
      <c r="J463" s="5"/>
    </row>
    <row r="464" ht="15.75" customHeight="1">
      <c r="H464" s="3"/>
      <c r="J464" s="5"/>
    </row>
    <row r="465" ht="15.75" customHeight="1">
      <c r="H465" s="3"/>
      <c r="J465" s="5"/>
    </row>
    <row r="466" ht="15.75" customHeight="1">
      <c r="H466" s="3"/>
      <c r="J466" s="5"/>
    </row>
    <row r="467" ht="15.75" customHeight="1">
      <c r="H467" s="3"/>
      <c r="J467" s="5"/>
    </row>
    <row r="468" ht="15.75" customHeight="1">
      <c r="H468" s="3"/>
      <c r="J468" s="5"/>
    </row>
    <row r="469" ht="15.75" customHeight="1">
      <c r="H469" s="3"/>
      <c r="J469" s="5"/>
    </row>
    <row r="470" ht="15.75" customHeight="1">
      <c r="H470" s="3"/>
      <c r="J470" s="5"/>
    </row>
    <row r="471" ht="15.75" customHeight="1">
      <c r="H471" s="3"/>
      <c r="J471" s="5"/>
    </row>
    <row r="472" ht="15.75" customHeight="1">
      <c r="H472" s="3"/>
      <c r="J472" s="5"/>
    </row>
    <row r="473" ht="15.75" customHeight="1">
      <c r="H473" s="3"/>
      <c r="J473" s="5"/>
    </row>
    <row r="474" ht="15.75" customHeight="1">
      <c r="H474" s="3"/>
      <c r="J474" s="5"/>
    </row>
    <row r="475" ht="15.75" customHeight="1">
      <c r="H475" s="3"/>
      <c r="J475" s="5"/>
    </row>
    <row r="476" ht="15.75" customHeight="1">
      <c r="H476" s="3"/>
      <c r="J476" s="5"/>
    </row>
    <row r="477" ht="15.75" customHeight="1">
      <c r="H477" s="3"/>
      <c r="J477" s="5"/>
    </row>
    <row r="478" ht="15.75" customHeight="1">
      <c r="H478" s="3"/>
      <c r="J478" s="5"/>
    </row>
    <row r="479" ht="15.75" customHeight="1">
      <c r="H479" s="3"/>
      <c r="J479" s="5"/>
    </row>
    <row r="480" ht="15.75" customHeight="1">
      <c r="H480" s="3"/>
      <c r="J480" s="5"/>
    </row>
    <row r="481" ht="15.75" customHeight="1">
      <c r="H481" s="3"/>
      <c r="J481" s="5"/>
    </row>
    <row r="482" ht="15.75" customHeight="1">
      <c r="H482" s="3"/>
      <c r="J482" s="5"/>
    </row>
    <row r="483" ht="15.75" customHeight="1">
      <c r="H483" s="3"/>
      <c r="J483" s="5"/>
    </row>
    <row r="484" ht="15.75" customHeight="1">
      <c r="H484" s="3"/>
      <c r="J484" s="5"/>
    </row>
    <row r="485" ht="15.75" customHeight="1">
      <c r="H485" s="3"/>
      <c r="J485" s="5"/>
    </row>
    <row r="486" ht="15.75" customHeight="1">
      <c r="H486" s="3"/>
      <c r="J486" s="5"/>
    </row>
    <row r="487" ht="15.75" customHeight="1">
      <c r="H487" s="3"/>
      <c r="J487" s="5"/>
    </row>
    <row r="488" ht="15.75" customHeight="1">
      <c r="H488" s="3"/>
      <c r="J488" s="5"/>
    </row>
    <row r="489" ht="15.75" customHeight="1">
      <c r="H489" s="3"/>
      <c r="J489" s="5"/>
    </row>
    <row r="490" ht="15.75" customHeight="1">
      <c r="H490" s="3"/>
      <c r="J490" s="5"/>
    </row>
    <row r="491" ht="15.75" customHeight="1">
      <c r="H491" s="3"/>
      <c r="J491" s="5"/>
    </row>
    <row r="492" ht="15.75" customHeight="1">
      <c r="H492" s="3"/>
      <c r="J492" s="5"/>
    </row>
    <row r="493" ht="15.75" customHeight="1">
      <c r="H493" s="3"/>
      <c r="J493" s="5"/>
    </row>
    <row r="494" ht="15.75" customHeight="1">
      <c r="H494" s="3"/>
      <c r="J494" s="5"/>
    </row>
    <row r="495" ht="15.75" customHeight="1">
      <c r="H495" s="3"/>
      <c r="J495" s="5"/>
    </row>
    <row r="496" ht="15.75" customHeight="1">
      <c r="H496" s="3"/>
      <c r="J496" s="5"/>
    </row>
    <row r="497" ht="15.75" customHeight="1">
      <c r="H497" s="3"/>
      <c r="J497" s="5"/>
    </row>
    <row r="498" ht="15.75" customHeight="1">
      <c r="H498" s="3"/>
      <c r="J498" s="5"/>
    </row>
    <row r="499" ht="15.75" customHeight="1">
      <c r="H499" s="3"/>
      <c r="J499" s="5"/>
    </row>
    <row r="500" ht="15.75" customHeight="1">
      <c r="H500" s="3"/>
      <c r="J500" s="5"/>
    </row>
    <row r="501" ht="15.75" customHeight="1">
      <c r="H501" s="3"/>
      <c r="J501" s="5"/>
    </row>
    <row r="502" ht="15.75" customHeight="1">
      <c r="H502" s="3"/>
      <c r="J502" s="5"/>
    </row>
    <row r="503" ht="15.75" customHeight="1">
      <c r="H503" s="3"/>
      <c r="J503" s="5"/>
    </row>
    <row r="504" ht="15.75" customHeight="1">
      <c r="H504" s="3"/>
      <c r="J504" s="5"/>
    </row>
    <row r="505" ht="15.75" customHeight="1">
      <c r="H505" s="3"/>
      <c r="J505" s="5"/>
    </row>
    <row r="506" ht="15.75" customHeight="1">
      <c r="H506" s="3"/>
      <c r="J506" s="5"/>
    </row>
    <row r="507" ht="15.75" customHeight="1">
      <c r="H507" s="3"/>
      <c r="J507" s="5"/>
    </row>
    <row r="508" ht="15.75" customHeight="1">
      <c r="H508" s="3"/>
      <c r="J508" s="5"/>
    </row>
    <row r="509" ht="15.75" customHeight="1">
      <c r="H509" s="3"/>
      <c r="J509" s="5"/>
    </row>
    <row r="510" ht="15.75" customHeight="1">
      <c r="H510" s="3"/>
      <c r="J510" s="5"/>
    </row>
    <row r="511" ht="15.75" customHeight="1">
      <c r="H511" s="3"/>
      <c r="J511" s="5"/>
    </row>
    <row r="512" ht="15.75" customHeight="1">
      <c r="H512" s="3"/>
      <c r="J512" s="5"/>
    </row>
    <row r="513" ht="15.75" customHeight="1">
      <c r="H513" s="3"/>
      <c r="J513" s="5"/>
    </row>
    <row r="514" ht="15.75" customHeight="1">
      <c r="H514" s="3"/>
      <c r="J514" s="5"/>
    </row>
    <row r="515" ht="15.75" customHeight="1">
      <c r="H515" s="3"/>
      <c r="J515" s="5"/>
    </row>
    <row r="516" ht="15.75" customHeight="1">
      <c r="H516" s="3"/>
      <c r="J516" s="5"/>
    </row>
    <row r="517" ht="15.75" customHeight="1">
      <c r="H517" s="3"/>
      <c r="J517" s="5"/>
    </row>
    <row r="518" ht="15.75" customHeight="1">
      <c r="H518" s="3"/>
      <c r="J518" s="5"/>
    </row>
    <row r="519" ht="15.75" customHeight="1">
      <c r="H519" s="3"/>
      <c r="J519" s="5"/>
    </row>
    <row r="520" ht="15.75" customHeight="1">
      <c r="H520" s="3"/>
      <c r="J520" s="5"/>
    </row>
    <row r="521" ht="15.75" customHeight="1">
      <c r="H521" s="3"/>
      <c r="J521" s="5"/>
    </row>
    <row r="522" ht="15.75" customHeight="1">
      <c r="H522" s="3"/>
      <c r="J522" s="5"/>
    </row>
    <row r="523" ht="15.75" customHeight="1">
      <c r="H523" s="3"/>
      <c r="J523" s="5"/>
    </row>
    <row r="524" ht="15.75" customHeight="1">
      <c r="H524" s="3"/>
      <c r="J524" s="5"/>
    </row>
    <row r="525" ht="15.75" customHeight="1">
      <c r="H525" s="3"/>
      <c r="J525" s="5"/>
    </row>
    <row r="526" ht="15.75" customHeight="1">
      <c r="H526" s="3"/>
      <c r="J526" s="5"/>
    </row>
    <row r="527" ht="15.75" customHeight="1">
      <c r="H527" s="3"/>
      <c r="J527" s="5"/>
    </row>
    <row r="528" ht="15.75" customHeight="1">
      <c r="H528" s="3"/>
      <c r="J528" s="5"/>
    </row>
    <row r="529" ht="15.75" customHeight="1">
      <c r="H529" s="3"/>
      <c r="J529" s="5"/>
    </row>
    <row r="530" ht="15.75" customHeight="1">
      <c r="H530" s="3"/>
      <c r="J530" s="5"/>
    </row>
    <row r="531" ht="15.75" customHeight="1">
      <c r="H531" s="3"/>
      <c r="J531" s="5"/>
    </row>
    <row r="532" ht="15.75" customHeight="1">
      <c r="H532" s="3"/>
      <c r="J532" s="5"/>
    </row>
    <row r="533" ht="15.75" customHeight="1">
      <c r="H533" s="3"/>
      <c r="J533" s="5"/>
    </row>
    <row r="534" ht="15.75" customHeight="1">
      <c r="H534" s="3"/>
      <c r="J534" s="5"/>
    </row>
    <row r="535" ht="15.75" customHeight="1">
      <c r="H535" s="3"/>
      <c r="J535" s="5"/>
    </row>
    <row r="536" ht="15.75" customHeight="1">
      <c r="H536" s="3"/>
      <c r="J536" s="5"/>
    </row>
    <row r="537" ht="15.75" customHeight="1">
      <c r="H537" s="3"/>
      <c r="J537" s="5"/>
    </row>
    <row r="538" ht="15.75" customHeight="1">
      <c r="H538" s="3"/>
      <c r="J538" s="5"/>
    </row>
    <row r="539" ht="15.75" customHeight="1">
      <c r="H539" s="3"/>
      <c r="J539" s="5"/>
    </row>
    <row r="540" ht="15.75" customHeight="1">
      <c r="H540" s="3"/>
      <c r="J540" s="5"/>
    </row>
    <row r="541" ht="15.75" customHeight="1">
      <c r="H541" s="3"/>
      <c r="J541" s="5"/>
    </row>
    <row r="542" ht="15.75" customHeight="1">
      <c r="H542" s="3"/>
      <c r="J542" s="5"/>
    </row>
    <row r="543" ht="15.75" customHeight="1">
      <c r="H543" s="3"/>
      <c r="J543" s="5"/>
    </row>
    <row r="544" ht="15.75" customHeight="1">
      <c r="H544" s="3"/>
      <c r="J544" s="5"/>
    </row>
    <row r="545" ht="15.75" customHeight="1">
      <c r="H545" s="3"/>
      <c r="J545" s="5"/>
    </row>
    <row r="546" ht="15.75" customHeight="1">
      <c r="H546" s="3"/>
      <c r="J546" s="5"/>
    </row>
    <row r="547" ht="15.75" customHeight="1">
      <c r="H547" s="3"/>
      <c r="J547" s="5"/>
    </row>
    <row r="548" ht="15.75" customHeight="1">
      <c r="H548" s="3"/>
      <c r="J548" s="5"/>
    </row>
    <row r="549" ht="15.75" customHeight="1">
      <c r="H549" s="3"/>
      <c r="J549" s="5"/>
    </row>
    <row r="550" ht="15.75" customHeight="1">
      <c r="H550" s="3"/>
      <c r="J550" s="5"/>
    </row>
    <row r="551" ht="15.75" customHeight="1">
      <c r="H551" s="3"/>
      <c r="J551" s="5"/>
    </row>
    <row r="552" ht="15.75" customHeight="1">
      <c r="H552" s="3"/>
      <c r="J552" s="5"/>
    </row>
    <row r="553" ht="15.75" customHeight="1">
      <c r="H553" s="3"/>
      <c r="J553" s="5"/>
    </row>
    <row r="554" ht="15.75" customHeight="1">
      <c r="H554" s="3"/>
      <c r="J554" s="5"/>
    </row>
    <row r="555" ht="15.75" customHeight="1">
      <c r="H555" s="3"/>
      <c r="J555" s="5"/>
    </row>
    <row r="556" ht="15.75" customHeight="1">
      <c r="H556" s="3"/>
      <c r="J556" s="5"/>
    </row>
    <row r="557" ht="15.75" customHeight="1">
      <c r="H557" s="3"/>
      <c r="J557" s="5"/>
    </row>
    <row r="558" ht="15.75" customHeight="1">
      <c r="H558" s="3"/>
      <c r="J558" s="5"/>
    </row>
    <row r="559" ht="15.75" customHeight="1">
      <c r="H559" s="3"/>
      <c r="J559" s="5"/>
    </row>
    <row r="560" ht="15.75" customHeight="1">
      <c r="H560" s="3"/>
      <c r="J560" s="5"/>
    </row>
    <row r="561" ht="15.75" customHeight="1">
      <c r="H561" s="3"/>
      <c r="J561" s="5"/>
    </row>
    <row r="562" ht="15.75" customHeight="1">
      <c r="H562" s="3"/>
      <c r="J562" s="5"/>
    </row>
    <row r="563" ht="15.75" customHeight="1">
      <c r="H563" s="3"/>
      <c r="J563" s="5"/>
    </row>
    <row r="564" ht="15.75" customHeight="1">
      <c r="H564" s="3"/>
      <c r="J564" s="5"/>
    </row>
    <row r="565" ht="15.75" customHeight="1">
      <c r="H565" s="3"/>
      <c r="J565" s="5"/>
    </row>
    <row r="566" ht="15.75" customHeight="1">
      <c r="H566" s="3"/>
      <c r="J566" s="5"/>
    </row>
    <row r="567" ht="15.75" customHeight="1">
      <c r="H567" s="3"/>
      <c r="J567" s="5"/>
    </row>
    <row r="568" ht="15.75" customHeight="1">
      <c r="H568" s="3"/>
      <c r="J568" s="5"/>
    </row>
    <row r="569" ht="15.75" customHeight="1">
      <c r="H569" s="3"/>
      <c r="J569" s="5"/>
    </row>
    <row r="570" ht="15.75" customHeight="1">
      <c r="H570" s="3"/>
      <c r="J570" s="5"/>
    </row>
    <row r="571" ht="15.75" customHeight="1">
      <c r="H571" s="3"/>
      <c r="J571" s="5"/>
    </row>
    <row r="572" ht="15.75" customHeight="1">
      <c r="H572" s="3"/>
      <c r="J572" s="5"/>
    </row>
    <row r="573" ht="15.75" customHeight="1">
      <c r="H573" s="3"/>
      <c r="J573" s="5"/>
    </row>
    <row r="574" ht="15.75" customHeight="1">
      <c r="H574" s="3"/>
      <c r="J574" s="5"/>
    </row>
    <row r="575" ht="15.75" customHeight="1">
      <c r="H575" s="3"/>
      <c r="J575" s="5"/>
    </row>
    <row r="576" ht="15.75" customHeight="1">
      <c r="H576" s="3"/>
      <c r="J576" s="5"/>
    </row>
    <row r="577" ht="15.75" customHeight="1">
      <c r="H577" s="3"/>
      <c r="J577" s="5"/>
    </row>
    <row r="578" ht="15.75" customHeight="1">
      <c r="H578" s="3"/>
      <c r="J578" s="5"/>
    </row>
    <row r="579" ht="15.75" customHeight="1">
      <c r="H579" s="3"/>
      <c r="J579" s="5"/>
    </row>
    <row r="580" ht="15.75" customHeight="1">
      <c r="H580" s="3"/>
      <c r="J580" s="5"/>
    </row>
    <row r="581" ht="15.75" customHeight="1">
      <c r="H581" s="3"/>
      <c r="J581" s="5"/>
    </row>
    <row r="582" ht="15.75" customHeight="1">
      <c r="H582" s="3"/>
      <c r="J582" s="5"/>
    </row>
    <row r="583" ht="15.75" customHeight="1">
      <c r="H583" s="3"/>
      <c r="J583" s="5"/>
    </row>
    <row r="584" ht="15.75" customHeight="1">
      <c r="H584" s="3"/>
      <c r="J584" s="5"/>
    </row>
    <row r="585" ht="15.75" customHeight="1">
      <c r="H585" s="3"/>
      <c r="J585" s="5"/>
    </row>
    <row r="586" ht="15.75" customHeight="1">
      <c r="H586" s="3"/>
      <c r="J586" s="5"/>
    </row>
    <row r="587" ht="15.75" customHeight="1">
      <c r="H587" s="3"/>
      <c r="J587" s="5"/>
    </row>
    <row r="588" ht="15.75" customHeight="1">
      <c r="H588" s="3"/>
      <c r="J588" s="5"/>
    </row>
    <row r="589" ht="15.75" customHeight="1">
      <c r="H589" s="3"/>
      <c r="J589" s="5"/>
    </row>
    <row r="590" ht="15.75" customHeight="1">
      <c r="H590" s="3"/>
      <c r="J590" s="5"/>
    </row>
    <row r="591" ht="15.75" customHeight="1">
      <c r="H591" s="3"/>
      <c r="J591" s="5"/>
    </row>
    <row r="592" ht="15.75" customHeight="1">
      <c r="H592" s="3"/>
      <c r="J592" s="5"/>
    </row>
    <row r="593" ht="15.75" customHeight="1">
      <c r="H593" s="3"/>
      <c r="J593" s="5"/>
    </row>
    <row r="594" ht="15.75" customHeight="1">
      <c r="H594" s="3"/>
      <c r="J594" s="5"/>
    </row>
    <row r="595" ht="15.75" customHeight="1">
      <c r="H595" s="3"/>
      <c r="J595" s="5"/>
    </row>
    <row r="596" ht="15.75" customHeight="1">
      <c r="H596" s="3"/>
      <c r="J596" s="5"/>
    </row>
    <row r="597" ht="15.75" customHeight="1">
      <c r="H597" s="3"/>
      <c r="J597" s="5"/>
    </row>
    <row r="598" ht="15.75" customHeight="1">
      <c r="H598" s="3"/>
      <c r="J598" s="5"/>
    </row>
    <row r="599" ht="15.75" customHeight="1">
      <c r="H599" s="3"/>
      <c r="J599" s="5"/>
    </row>
    <row r="600" ht="15.75" customHeight="1">
      <c r="H600" s="3"/>
      <c r="J600" s="5"/>
    </row>
    <row r="601" ht="15.75" customHeight="1">
      <c r="H601" s="3"/>
      <c r="J601" s="5"/>
    </row>
    <row r="602" ht="15.75" customHeight="1">
      <c r="H602" s="3"/>
      <c r="J602" s="5"/>
    </row>
    <row r="603" ht="15.75" customHeight="1">
      <c r="H603" s="3"/>
      <c r="J603" s="5"/>
    </row>
    <row r="604" ht="15.75" customHeight="1">
      <c r="H604" s="3"/>
      <c r="J604" s="5"/>
    </row>
    <row r="605" ht="15.75" customHeight="1">
      <c r="H605" s="3"/>
      <c r="J605" s="5"/>
    </row>
    <row r="606" ht="15.75" customHeight="1">
      <c r="H606" s="3"/>
      <c r="J606" s="5"/>
    </row>
    <row r="607" ht="15.75" customHeight="1">
      <c r="H607" s="3"/>
      <c r="J607" s="5"/>
    </row>
    <row r="608" ht="15.75" customHeight="1">
      <c r="H608" s="3"/>
      <c r="J608" s="5"/>
    </row>
    <row r="609" ht="15.75" customHeight="1">
      <c r="H609" s="3"/>
      <c r="J609" s="5"/>
    </row>
    <row r="610" ht="15.75" customHeight="1">
      <c r="H610" s="3"/>
      <c r="J610" s="5"/>
    </row>
    <row r="611" ht="15.75" customHeight="1">
      <c r="H611" s="3"/>
      <c r="J611" s="5"/>
    </row>
    <row r="612" ht="15.75" customHeight="1">
      <c r="H612" s="3"/>
      <c r="J612" s="5"/>
    </row>
    <row r="613" ht="15.75" customHeight="1">
      <c r="H613" s="3"/>
      <c r="J613" s="5"/>
    </row>
    <row r="614" ht="15.75" customHeight="1">
      <c r="H614" s="3"/>
      <c r="J614" s="5"/>
    </row>
    <row r="615" ht="15.75" customHeight="1">
      <c r="H615" s="3"/>
      <c r="J615" s="5"/>
    </row>
    <row r="616" ht="15.75" customHeight="1">
      <c r="H616" s="3"/>
      <c r="J616" s="5"/>
    </row>
    <row r="617" ht="15.75" customHeight="1">
      <c r="H617" s="3"/>
      <c r="J617" s="5"/>
    </row>
    <row r="618" ht="15.75" customHeight="1">
      <c r="H618" s="3"/>
      <c r="J618" s="5"/>
    </row>
    <row r="619" ht="15.75" customHeight="1">
      <c r="H619" s="3"/>
      <c r="J619" s="5"/>
    </row>
    <row r="620" ht="15.75" customHeight="1">
      <c r="H620" s="3"/>
      <c r="J620" s="5"/>
    </row>
    <row r="621" ht="15.75" customHeight="1">
      <c r="H621" s="3"/>
      <c r="J621" s="5"/>
    </row>
    <row r="622" ht="15.75" customHeight="1">
      <c r="H622" s="3"/>
      <c r="J622" s="5"/>
    </row>
    <row r="623" ht="15.75" customHeight="1">
      <c r="H623" s="3"/>
      <c r="J623" s="5"/>
    </row>
    <row r="624" ht="15.75" customHeight="1">
      <c r="H624" s="3"/>
      <c r="J624" s="5"/>
    </row>
    <row r="625" ht="15.75" customHeight="1">
      <c r="H625" s="3"/>
      <c r="J625" s="5"/>
    </row>
    <row r="626" ht="15.75" customHeight="1">
      <c r="H626" s="3"/>
      <c r="J626" s="5"/>
    </row>
    <row r="627" ht="15.75" customHeight="1">
      <c r="H627" s="3"/>
      <c r="J627" s="5"/>
    </row>
    <row r="628" ht="15.75" customHeight="1">
      <c r="H628" s="3"/>
      <c r="J628" s="5"/>
    </row>
    <row r="629" ht="15.75" customHeight="1">
      <c r="H629" s="3"/>
      <c r="J629" s="5"/>
    </row>
    <row r="630" ht="15.75" customHeight="1">
      <c r="H630" s="3"/>
      <c r="J630" s="5"/>
    </row>
    <row r="631" ht="15.75" customHeight="1">
      <c r="H631" s="3"/>
      <c r="J631" s="5"/>
    </row>
    <row r="632" ht="15.75" customHeight="1">
      <c r="H632" s="3"/>
      <c r="J632" s="5"/>
    </row>
    <row r="633" ht="15.75" customHeight="1">
      <c r="H633" s="3"/>
      <c r="J633" s="5"/>
    </row>
    <row r="634" ht="15.75" customHeight="1">
      <c r="H634" s="3"/>
      <c r="J634" s="5"/>
    </row>
    <row r="635" ht="15.75" customHeight="1">
      <c r="H635" s="3"/>
      <c r="J635" s="5"/>
    </row>
    <row r="636" ht="15.75" customHeight="1">
      <c r="H636" s="3"/>
      <c r="J636" s="5"/>
    </row>
    <row r="637" ht="15.75" customHeight="1">
      <c r="H637" s="3"/>
      <c r="J637" s="5"/>
    </row>
    <row r="638" ht="15.75" customHeight="1">
      <c r="H638" s="3"/>
      <c r="J638" s="5"/>
    </row>
    <row r="639" ht="15.75" customHeight="1">
      <c r="H639" s="3"/>
      <c r="J639" s="5"/>
    </row>
    <row r="640" ht="15.75" customHeight="1">
      <c r="H640" s="3"/>
      <c r="J640" s="5"/>
    </row>
    <row r="641" ht="15.75" customHeight="1">
      <c r="H641" s="3"/>
      <c r="J641" s="5"/>
    </row>
    <row r="642" ht="15.75" customHeight="1">
      <c r="H642" s="3"/>
      <c r="J642" s="5"/>
    </row>
    <row r="643" ht="15.75" customHeight="1">
      <c r="H643" s="3"/>
      <c r="J643" s="5"/>
    </row>
    <row r="644" ht="15.75" customHeight="1">
      <c r="H644" s="3"/>
      <c r="J644" s="5"/>
    </row>
    <row r="645" ht="15.75" customHeight="1">
      <c r="H645" s="3"/>
      <c r="J645" s="5"/>
    </row>
    <row r="646" ht="15.75" customHeight="1">
      <c r="H646" s="3"/>
      <c r="J646" s="5"/>
    </row>
    <row r="647" ht="15.75" customHeight="1">
      <c r="H647" s="3"/>
      <c r="J647" s="5"/>
    </row>
    <row r="648" ht="15.75" customHeight="1">
      <c r="H648" s="3"/>
      <c r="J648" s="5"/>
    </row>
    <row r="649" ht="15.75" customHeight="1">
      <c r="H649" s="3"/>
      <c r="J649" s="5"/>
    </row>
    <row r="650" ht="15.75" customHeight="1">
      <c r="H650" s="3"/>
      <c r="J650" s="5"/>
    </row>
    <row r="651" ht="15.75" customHeight="1">
      <c r="H651" s="3"/>
      <c r="J651" s="5"/>
    </row>
    <row r="652" ht="15.75" customHeight="1">
      <c r="H652" s="3"/>
      <c r="J652" s="5"/>
    </row>
    <row r="653" ht="15.75" customHeight="1">
      <c r="H653" s="3"/>
      <c r="J653" s="5"/>
    </row>
    <row r="654" ht="15.75" customHeight="1">
      <c r="H654" s="3"/>
      <c r="J654" s="5"/>
    </row>
    <row r="655" ht="15.75" customHeight="1">
      <c r="H655" s="3"/>
      <c r="J655" s="5"/>
    </row>
    <row r="656" ht="15.75" customHeight="1">
      <c r="H656" s="3"/>
      <c r="J656" s="5"/>
    </row>
    <row r="657" ht="15.75" customHeight="1">
      <c r="H657" s="3"/>
      <c r="J657" s="5"/>
    </row>
    <row r="658" ht="15.75" customHeight="1">
      <c r="H658" s="3"/>
      <c r="J658" s="5"/>
    </row>
    <row r="659" ht="15.75" customHeight="1">
      <c r="H659" s="3"/>
      <c r="J659" s="5"/>
    </row>
    <row r="660" ht="15.75" customHeight="1">
      <c r="H660" s="3"/>
      <c r="J660" s="5"/>
    </row>
    <row r="661" ht="15.75" customHeight="1">
      <c r="H661" s="3"/>
      <c r="J661" s="5"/>
    </row>
    <row r="662" ht="15.75" customHeight="1">
      <c r="H662" s="3"/>
      <c r="J662" s="5"/>
    </row>
    <row r="663" ht="15.75" customHeight="1">
      <c r="H663" s="3"/>
      <c r="J663" s="5"/>
    </row>
    <row r="664" ht="15.75" customHeight="1">
      <c r="H664" s="3"/>
      <c r="J664" s="5"/>
    </row>
    <row r="665" ht="15.75" customHeight="1">
      <c r="H665" s="3"/>
      <c r="J665" s="5"/>
    </row>
    <row r="666" ht="15.75" customHeight="1">
      <c r="H666" s="3"/>
      <c r="J666" s="5"/>
    </row>
    <row r="667" ht="15.75" customHeight="1">
      <c r="H667" s="3"/>
      <c r="J667" s="5"/>
    </row>
    <row r="668" ht="15.75" customHeight="1">
      <c r="H668" s="3"/>
      <c r="J668" s="5"/>
    </row>
    <row r="669" ht="15.75" customHeight="1">
      <c r="H669" s="3"/>
      <c r="J669" s="5"/>
    </row>
    <row r="670" ht="15.75" customHeight="1">
      <c r="H670" s="3"/>
      <c r="J670" s="5"/>
    </row>
    <row r="671" ht="15.75" customHeight="1">
      <c r="H671" s="3"/>
      <c r="J671" s="5"/>
    </row>
    <row r="672" ht="15.75" customHeight="1">
      <c r="H672" s="3"/>
      <c r="J672" s="5"/>
    </row>
    <row r="673" ht="15.75" customHeight="1">
      <c r="H673" s="3"/>
      <c r="J673" s="5"/>
    </row>
    <row r="674" ht="15.75" customHeight="1">
      <c r="H674" s="3"/>
      <c r="J674" s="5"/>
    </row>
    <row r="675" ht="15.75" customHeight="1">
      <c r="H675" s="3"/>
      <c r="J675" s="5"/>
    </row>
    <row r="676" ht="15.75" customHeight="1">
      <c r="H676" s="3"/>
      <c r="J676" s="5"/>
    </row>
    <row r="677" ht="15.75" customHeight="1">
      <c r="H677" s="3"/>
      <c r="J677" s="5"/>
    </row>
    <row r="678" ht="15.75" customHeight="1">
      <c r="H678" s="3"/>
      <c r="J678" s="5"/>
    </row>
    <row r="679" ht="15.75" customHeight="1">
      <c r="H679" s="3"/>
      <c r="J679" s="5"/>
    </row>
    <row r="680" ht="15.75" customHeight="1">
      <c r="H680" s="3"/>
      <c r="J680" s="5"/>
    </row>
    <row r="681" ht="15.75" customHeight="1">
      <c r="H681" s="3"/>
      <c r="J681" s="5"/>
    </row>
    <row r="682" ht="15.75" customHeight="1">
      <c r="H682" s="3"/>
      <c r="J682" s="5"/>
    </row>
    <row r="683" ht="15.75" customHeight="1">
      <c r="H683" s="3"/>
      <c r="J683" s="5"/>
    </row>
    <row r="684" ht="15.75" customHeight="1">
      <c r="H684" s="3"/>
      <c r="J684" s="5"/>
    </row>
    <row r="685" ht="15.75" customHeight="1">
      <c r="H685" s="3"/>
      <c r="J685" s="5"/>
    </row>
    <row r="686" ht="15.75" customHeight="1">
      <c r="H686" s="3"/>
      <c r="J686" s="5"/>
    </row>
    <row r="687" ht="15.75" customHeight="1">
      <c r="H687" s="3"/>
      <c r="J687" s="5"/>
    </row>
    <row r="688" ht="15.75" customHeight="1">
      <c r="H688" s="3"/>
      <c r="J688" s="5"/>
    </row>
    <row r="689" ht="15.75" customHeight="1">
      <c r="H689" s="3"/>
      <c r="J689" s="5"/>
    </row>
    <row r="690" ht="15.75" customHeight="1">
      <c r="H690" s="3"/>
      <c r="J690" s="5"/>
    </row>
    <row r="691" ht="15.75" customHeight="1">
      <c r="H691" s="3"/>
      <c r="J691" s="5"/>
    </row>
    <row r="692" ht="15.75" customHeight="1">
      <c r="H692" s="3"/>
      <c r="J692" s="5"/>
    </row>
    <row r="693" ht="15.75" customHeight="1">
      <c r="H693" s="3"/>
      <c r="J693" s="5"/>
    </row>
    <row r="694" ht="15.75" customHeight="1">
      <c r="H694" s="3"/>
      <c r="J694" s="5"/>
    </row>
    <row r="695" ht="15.75" customHeight="1">
      <c r="H695" s="3"/>
      <c r="J695" s="5"/>
    </row>
    <row r="696" ht="15.75" customHeight="1">
      <c r="H696" s="3"/>
      <c r="J696" s="5"/>
    </row>
    <row r="697" ht="15.75" customHeight="1">
      <c r="H697" s="3"/>
      <c r="J697" s="5"/>
    </row>
    <row r="698" ht="15.75" customHeight="1">
      <c r="H698" s="3"/>
      <c r="J698" s="5"/>
    </row>
    <row r="699" ht="15.75" customHeight="1">
      <c r="H699" s="3"/>
      <c r="J699" s="5"/>
    </row>
    <row r="700" ht="15.75" customHeight="1">
      <c r="H700" s="3"/>
      <c r="J700" s="5"/>
    </row>
    <row r="701" ht="15.75" customHeight="1">
      <c r="H701" s="3"/>
      <c r="J701" s="5"/>
    </row>
    <row r="702" ht="15.75" customHeight="1">
      <c r="H702" s="3"/>
      <c r="J702" s="5"/>
    </row>
    <row r="703" ht="15.75" customHeight="1">
      <c r="H703" s="3"/>
      <c r="J703" s="5"/>
    </row>
    <row r="704" ht="15.75" customHeight="1">
      <c r="H704" s="3"/>
      <c r="J704" s="5"/>
    </row>
    <row r="705" ht="15.75" customHeight="1">
      <c r="H705" s="3"/>
      <c r="J705" s="5"/>
    </row>
    <row r="706" ht="15.75" customHeight="1">
      <c r="H706" s="3"/>
      <c r="J706" s="5"/>
    </row>
    <row r="707" ht="15.75" customHeight="1">
      <c r="H707" s="3"/>
      <c r="J707" s="5"/>
    </row>
    <row r="708" ht="15.75" customHeight="1">
      <c r="H708" s="3"/>
      <c r="J708" s="5"/>
    </row>
    <row r="709" ht="15.75" customHeight="1">
      <c r="H709" s="3"/>
      <c r="J709" s="5"/>
    </row>
    <row r="710" ht="15.75" customHeight="1">
      <c r="H710" s="3"/>
      <c r="J710" s="5"/>
    </row>
    <row r="711" ht="15.75" customHeight="1">
      <c r="H711" s="3"/>
      <c r="J711" s="5"/>
    </row>
    <row r="712" ht="15.75" customHeight="1">
      <c r="H712" s="3"/>
      <c r="J712" s="5"/>
    </row>
    <row r="713" ht="15.75" customHeight="1">
      <c r="H713" s="3"/>
      <c r="J713" s="5"/>
    </row>
    <row r="714" ht="15.75" customHeight="1">
      <c r="H714" s="3"/>
      <c r="J714" s="5"/>
    </row>
    <row r="715" ht="15.75" customHeight="1">
      <c r="H715" s="3"/>
      <c r="J715" s="5"/>
    </row>
    <row r="716" ht="15.75" customHeight="1">
      <c r="H716" s="3"/>
      <c r="J716" s="5"/>
    </row>
    <row r="717" ht="15.75" customHeight="1">
      <c r="H717" s="3"/>
      <c r="J717" s="5"/>
    </row>
    <row r="718" ht="15.75" customHeight="1">
      <c r="H718" s="3"/>
      <c r="J718" s="5"/>
    </row>
    <row r="719" ht="15.75" customHeight="1">
      <c r="H719" s="3"/>
      <c r="J719" s="5"/>
    </row>
    <row r="720" ht="15.75" customHeight="1">
      <c r="H720" s="3"/>
      <c r="J720" s="5"/>
    </row>
    <row r="721" ht="15.75" customHeight="1">
      <c r="H721" s="3"/>
      <c r="J721" s="5"/>
    </row>
    <row r="722" ht="15.75" customHeight="1">
      <c r="H722" s="3"/>
      <c r="J722" s="5"/>
    </row>
    <row r="723" ht="15.75" customHeight="1">
      <c r="H723" s="3"/>
      <c r="J723" s="5"/>
    </row>
    <row r="724" ht="15.75" customHeight="1">
      <c r="H724" s="3"/>
      <c r="J724" s="5"/>
    </row>
    <row r="725" ht="15.75" customHeight="1">
      <c r="H725" s="3"/>
      <c r="J725" s="5"/>
    </row>
    <row r="726" ht="15.75" customHeight="1">
      <c r="H726" s="3"/>
      <c r="J726" s="5"/>
    </row>
    <row r="727" ht="15.75" customHeight="1">
      <c r="H727" s="3"/>
      <c r="J727" s="5"/>
    </row>
    <row r="728" ht="15.75" customHeight="1">
      <c r="H728" s="3"/>
      <c r="J728" s="5"/>
    </row>
    <row r="729" ht="15.75" customHeight="1">
      <c r="H729" s="3"/>
      <c r="J729" s="5"/>
    </row>
    <row r="730" ht="15.75" customHeight="1">
      <c r="H730" s="3"/>
      <c r="J730" s="5"/>
    </row>
    <row r="731" ht="15.75" customHeight="1">
      <c r="H731" s="3"/>
      <c r="J731" s="5"/>
    </row>
    <row r="732" ht="15.75" customHeight="1">
      <c r="H732" s="3"/>
      <c r="J732" s="5"/>
    </row>
    <row r="733" ht="15.75" customHeight="1">
      <c r="H733" s="3"/>
      <c r="J733" s="5"/>
    </row>
    <row r="734" ht="15.75" customHeight="1">
      <c r="H734" s="3"/>
      <c r="J734" s="5"/>
    </row>
    <row r="735" ht="15.75" customHeight="1">
      <c r="H735" s="3"/>
      <c r="J735" s="5"/>
    </row>
    <row r="736" ht="15.75" customHeight="1">
      <c r="H736" s="3"/>
      <c r="J736" s="5"/>
    </row>
    <row r="737" ht="15.75" customHeight="1">
      <c r="H737" s="3"/>
      <c r="J737" s="5"/>
    </row>
    <row r="738" ht="15.75" customHeight="1">
      <c r="H738" s="3"/>
      <c r="J738" s="5"/>
    </row>
    <row r="739" ht="15.75" customHeight="1">
      <c r="H739" s="3"/>
      <c r="J739" s="5"/>
    </row>
    <row r="740" ht="15.75" customHeight="1">
      <c r="H740" s="3"/>
      <c r="J740" s="5"/>
    </row>
    <row r="741" ht="15.75" customHeight="1">
      <c r="H741" s="3"/>
      <c r="J741" s="5"/>
    </row>
    <row r="742" ht="15.75" customHeight="1">
      <c r="H742" s="3"/>
      <c r="J742" s="5"/>
    </row>
    <row r="743" ht="15.75" customHeight="1">
      <c r="H743" s="3"/>
      <c r="J743" s="5"/>
    </row>
    <row r="744" ht="15.75" customHeight="1">
      <c r="H744" s="3"/>
      <c r="J744" s="5"/>
    </row>
    <row r="745" ht="15.75" customHeight="1">
      <c r="H745" s="3"/>
      <c r="J745" s="5"/>
    </row>
    <row r="746" ht="15.75" customHeight="1">
      <c r="H746" s="3"/>
      <c r="J746" s="5"/>
    </row>
    <row r="747" ht="15.75" customHeight="1">
      <c r="H747" s="3"/>
      <c r="J747" s="5"/>
    </row>
    <row r="748" ht="15.75" customHeight="1">
      <c r="H748" s="3"/>
      <c r="J748" s="5"/>
    </row>
    <row r="749" ht="15.75" customHeight="1">
      <c r="H749" s="3"/>
      <c r="J749" s="5"/>
    </row>
    <row r="750" ht="15.75" customHeight="1">
      <c r="H750" s="3"/>
      <c r="J750" s="5"/>
    </row>
    <row r="751" ht="15.75" customHeight="1">
      <c r="H751" s="3"/>
      <c r="J751" s="5"/>
    </row>
    <row r="752" ht="15.75" customHeight="1">
      <c r="H752" s="3"/>
      <c r="J752" s="5"/>
    </row>
    <row r="753" ht="15.75" customHeight="1">
      <c r="H753" s="3"/>
      <c r="J753" s="5"/>
    </row>
    <row r="754" ht="15.75" customHeight="1">
      <c r="H754" s="3"/>
      <c r="J754" s="5"/>
    </row>
    <row r="755" ht="15.75" customHeight="1">
      <c r="H755" s="3"/>
      <c r="J755" s="5"/>
    </row>
    <row r="756" ht="15.75" customHeight="1">
      <c r="H756" s="3"/>
      <c r="J756" s="5"/>
    </row>
    <row r="757" ht="15.75" customHeight="1">
      <c r="H757" s="3"/>
      <c r="J757" s="5"/>
    </row>
    <row r="758" ht="15.75" customHeight="1">
      <c r="H758" s="3"/>
      <c r="J758" s="5"/>
    </row>
    <row r="759" ht="15.75" customHeight="1">
      <c r="H759" s="3"/>
      <c r="J759" s="5"/>
    </row>
    <row r="760" ht="15.75" customHeight="1">
      <c r="H760" s="3"/>
      <c r="J760" s="5"/>
    </row>
    <row r="761" ht="15.75" customHeight="1">
      <c r="H761" s="3"/>
      <c r="J761" s="5"/>
    </row>
    <row r="762" ht="15.75" customHeight="1">
      <c r="H762" s="3"/>
      <c r="J762" s="5"/>
    </row>
    <row r="763" ht="15.75" customHeight="1">
      <c r="H763" s="3"/>
      <c r="J763" s="5"/>
    </row>
    <row r="764" ht="15.75" customHeight="1">
      <c r="H764" s="3"/>
      <c r="J764" s="5"/>
    </row>
    <row r="765" ht="15.75" customHeight="1">
      <c r="H765" s="3"/>
      <c r="J765" s="5"/>
    </row>
    <row r="766" ht="15.75" customHeight="1">
      <c r="H766" s="3"/>
      <c r="J766" s="5"/>
    </row>
    <row r="767" ht="15.75" customHeight="1">
      <c r="H767" s="3"/>
      <c r="J767" s="5"/>
    </row>
    <row r="768" ht="15.75" customHeight="1">
      <c r="H768" s="3"/>
      <c r="J768" s="5"/>
    </row>
    <row r="769" ht="15.75" customHeight="1">
      <c r="H769" s="3"/>
      <c r="J769" s="5"/>
    </row>
    <row r="770" ht="15.75" customHeight="1">
      <c r="H770" s="3"/>
      <c r="J770" s="5"/>
    </row>
    <row r="771" ht="15.75" customHeight="1">
      <c r="H771" s="3"/>
      <c r="J771" s="5"/>
    </row>
    <row r="772" ht="15.75" customHeight="1">
      <c r="H772" s="3"/>
      <c r="J772" s="5"/>
    </row>
    <row r="773" ht="15.75" customHeight="1">
      <c r="H773" s="3"/>
      <c r="J773" s="5"/>
    </row>
    <row r="774" ht="15.75" customHeight="1">
      <c r="H774" s="3"/>
      <c r="J774" s="5"/>
    </row>
    <row r="775" ht="15.75" customHeight="1">
      <c r="H775" s="3"/>
      <c r="J775" s="5"/>
    </row>
    <row r="776" ht="15.75" customHeight="1">
      <c r="H776" s="3"/>
      <c r="J776" s="5"/>
    </row>
    <row r="777" ht="15.75" customHeight="1">
      <c r="H777" s="3"/>
      <c r="J777" s="5"/>
    </row>
    <row r="778" ht="15.75" customHeight="1">
      <c r="H778" s="3"/>
      <c r="J778" s="5"/>
    </row>
    <row r="779" ht="15.75" customHeight="1">
      <c r="H779" s="3"/>
      <c r="J779" s="5"/>
    </row>
    <row r="780" ht="15.75" customHeight="1">
      <c r="H780" s="3"/>
      <c r="J780" s="5"/>
    </row>
    <row r="781" ht="15.75" customHeight="1">
      <c r="H781" s="3"/>
      <c r="J781" s="5"/>
    </row>
    <row r="782" ht="15.75" customHeight="1">
      <c r="H782" s="3"/>
      <c r="J782" s="5"/>
    </row>
    <row r="783" ht="15.75" customHeight="1">
      <c r="H783" s="3"/>
      <c r="J783" s="5"/>
    </row>
    <row r="784" ht="15.75" customHeight="1">
      <c r="H784" s="3"/>
      <c r="J784" s="5"/>
    </row>
    <row r="785" ht="15.75" customHeight="1">
      <c r="H785" s="3"/>
      <c r="J785" s="5"/>
    </row>
    <row r="786" ht="15.75" customHeight="1">
      <c r="H786" s="3"/>
      <c r="J786" s="5"/>
    </row>
    <row r="787" ht="15.75" customHeight="1">
      <c r="H787" s="3"/>
      <c r="J787" s="5"/>
    </row>
    <row r="788" ht="15.75" customHeight="1">
      <c r="H788" s="3"/>
      <c r="J788" s="5"/>
    </row>
    <row r="789" ht="15.75" customHeight="1">
      <c r="H789" s="3"/>
      <c r="J789" s="5"/>
    </row>
    <row r="790" ht="15.75" customHeight="1">
      <c r="H790" s="3"/>
      <c r="J790" s="5"/>
    </row>
    <row r="791" ht="15.75" customHeight="1">
      <c r="H791" s="3"/>
      <c r="J791" s="5"/>
    </row>
    <row r="792" ht="15.75" customHeight="1">
      <c r="H792" s="3"/>
      <c r="J792" s="5"/>
    </row>
    <row r="793" ht="15.75" customHeight="1">
      <c r="H793" s="3"/>
      <c r="J793" s="5"/>
    </row>
    <row r="794" ht="15.75" customHeight="1">
      <c r="H794" s="3"/>
      <c r="J794" s="5"/>
    </row>
    <row r="795" ht="15.75" customHeight="1">
      <c r="H795" s="3"/>
      <c r="J795" s="5"/>
    </row>
    <row r="796" ht="15.75" customHeight="1">
      <c r="H796" s="3"/>
      <c r="J796" s="5"/>
    </row>
    <row r="797" ht="15.75" customHeight="1">
      <c r="H797" s="3"/>
      <c r="J797" s="5"/>
    </row>
    <row r="798" ht="15.75" customHeight="1">
      <c r="H798" s="3"/>
      <c r="J798" s="5"/>
    </row>
    <row r="799" ht="15.75" customHeight="1">
      <c r="H799" s="3"/>
      <c r="J799" s="5"/>
    </row>
    <row r="800" ht="15.75" customHeight="1">
      <c r="H800" s="3"/>
      <c r="J800" s="5"/>
    </row>
    <row r="801" ht="15.75" customHeight="1">
      <c r="H801" s="3"/>
      <c r="J801" s="5"/>
    </row>
    <row r="802" ht="15.75" customHeight="1">
      <c r="H802" s="3"/>
      <c r="J802" s="5"/>
    </row>
    <row r="803" ht="15.75" customHeight="1">
      <c r="H803" s="3"/>
      <c r="J803" s="5"/>
    </row>
    <row r="804" ht="15.75" customHeight="1">
      <c r="H804" s="3"/>
      <c r="J804" s="5"/>
    </row>
    <row r="805" ht="15.75" customHeight="1">
      <c r="H805" s="3"/>
      <c r="J805" s="5"/>
    </row>
    <row r="806" ht="15.75" customHeight="1">
      <c r="H806" s="3"/>
      <c r="J806" s="5"/>
    </row>
    <row r="807" ht="15.75" customHeight="1">
      <c r="H807" s="3"/>
      <c r="J807" s="5"/>
    </row>
    <row r="808" ht="15.75" customHeight="1">
      <c r="H808" s="3"/>
      <c r="J808" s="5"/>
    </row>
    <row r="809" ht="15.75" customHeight="1">
      <c r="H809" s="3"/>
      <c r="J809" s="5"/>
    </row>
    <row r="810" ht="15.75" customHeight="1">
      <c r="H810" s="3"/>
      <c r="J810" s="5"/>
    </row>
    <row r="811" ht="15.75" customHeight="1">
      <c r="H811" s="3"/>
      <c r="J811" s="5"/>
    </row>
    <row r="812" ht="15.75" customHeight="1">
      <c r="H812" s="3"/>
      <c r="J812" s="5"/>
    </row>
    <row r="813" ht="15.75" customHeight="1">
      <c r="H813" s="3"/>
      <c r="J813" s="5"/>
    </row>
    <row r="814" ht="15.75" customHeight="1">
      <c r="H814" s="3"/>
      <c r="J814" s="5"/>
    </row>
    <row r="815" ht="15.75" customHeight="1">
      <c r="H815" s="3"/>
      <c r="J815" s="5"/>
    </row>
    <row r="816" ht="15.75" customHeight="1">
      <c r="H816" s="3"/>
      <c r="J816" s="5"/>
    </row>
    <row r="817" ht="15.75" customHeight="1">
      <c r="H817" s="3"/>
      <c r="J817" s="5"/>
    </row>
    <row r="818" ht="15.75" customHeight="1">
      <c r="H818" s="3"/>
      <c r="J818" s="5"/>
    </row>
    <row r="819" ht="15.75" customHeight="1">
      <c r="H819" s="3"/>
      <c r="J819" s="5"/>
    </row>
    <row r="820" ht="15.75" customHeight="1">
      <c r="H820" s="3"/>
      <c r="J820" s="5"/>
    </row>
    <row r="821" ht="15.75" customHeight="1">
      <c r="H821" s="3"/>
      <c r="J821" s="5"/>
    </row>
    <row r="822" ht="15.75" customHeight="1">
      <c r="H822" s="3"/>
      <c r="J822" s="5"/>
    </row>
    <row r="823" ht="15.75" customHeight="1">
      <c r="H823" s="3"/>
      <c r="J823" s="5"/>
    </row>
    <row r="824" ht="15.75" customHeight="1">
      <c r="H824" s="3"/>
      <c r="J824" s="5"/>
    </row>
    <row r="825" ht="15.75" customHeight="1">
      <c r="H825" s="3"/>
      <c r="J825" s="5"/>
    </row>
    <row r="826" ht="15.75" customHeight="1">
      <c r="H826" s="3"/>
      <c r="J826" s="5"/>
    </row>
    <row r="827" ht="15.75" customHeight="1">
      <c r="H827" s="3"/>
      <c r="J827" s="5"/>
    </row>
    <row r="828" ht="15.75" customHeight="1">
      <c r="H828" s="3"/>
      <c r="J828" s="5"/>
    </row>
    <row r="829" ht="15.75" customHeight="1">
      <c r="H829" s="3"/>
      <c r="J829" s="5"/>
    </row>
    <row r="830" ht="15.75" customHeight="1">
      <c r="H830" s="3"/>
      <c r="J830" s="5"/>
    </row>
    <row r="831" ht="15.75" customHeight="1">
      <c r="H831" s="3"/>
      <c r="J831" s="5"/>
    </row>
    <row r="832" ht="15.75" customHeight="1">
      <c r="H832" s="3"/>
      <c r="J832" s="5"/>
    </row>
    <row r="833" ht="15.75" customHeight="1">
      <c r="H833" s="3"/>
      <c r="J833" s="5"/>
    </row>
    <row r="834" ht="15.75" customHeight="1">
      <c r="H834" s="3"/>
      <c r="J834" s="5"/>
    </row>
    <row r="835" ht="15.75" customHeight="1">
      <c r="H835" s="3"/>
      <c r="J835" s="5"/>
    </row>
    <row r="836" ht="15.75" customHeight="1">
      <c r="H836" s="3"/>
      <c r="J836" s="5"/>
    </row>
    <row r="837" ht="15.75" customHeight="1">
      <c r="H837" s="3"/>
      <c r="J837" s="5"/>
    </row>
    <row r="838" ht="15.75" customHeight="1">
      <c r="H838" s="3"/>
      <c r="J838" s="5"/>
    </row>
    <row r="839" ht="15.75" customHeight="1">
      <c r="H839" s="3"/>
      <c r="J839" s="5"/>
    </row>
    <row r="840" ht="15.75" customHeight="1">
      <c r="H840" s="3"/>
      <c r="J840" s="5"/>
    </row>
    <row r="841" ht="15.75" customHeight="1">
      <c r="H841" s="3"/>
      <c r="J841" s="5"/>
    </row>
    <row r="842" ht="15.75" customHeight="1">
      <c r="H842" s="3"/>
      <c r="J842" s="5"/>
    </row>
    <row r="843" ht="15.75" customHeight="1">
      <c r="H843" s="3"/>
      <c r="J843" s="5"/>
    </row>
    <row r="844" ht="15.75" customHeight="1">
      <c r="H844" s="3"/>
      <c r="J844" s="5"/>
    </row>
    <row r="845" ht="15.75" customHeight="1">
      <c r="H845" s="3"/>
      <c r="J845" s="5"/>
    </row>
    <row r="846" ht="15.75" customHeight="1">
      <c r="H846" s="3"/>
      <c r="J846" s="5"/>
    </row>
    <row r="847" ht="15.75" customHeight="1">
      <c r="H847" s="3"/>
      <c r="J847" s="5"/>
    </row>
    <row r="848" ht="15.75" customHeight="1">
      <c r="H848" s="3"/>
      <c r="J848" s="5"/>
    </row>
    <row r="849" ht="15.75" customHeight="1">
      <c r="H849" s="3"/>
      <c r="J849" s="5"/>
    </row>
    <row r="850" ht="15.75" customHeight="1">
      <c r="H850" s="3"/>
      <c r="J850" s="5"/>
    </row>
    <row r="851" ht="15.75" customHeight="1">
      <c r="H851" s="3"/>
      <c r="J851" s="5"/>
    </row>
    <row r="852" ht="15.75" customHeight="1">
      <c r="H852" s="3"/>
      <c r="J852" s="5"/>
    </row>
    <row r="853" ht="15.75" customHeight="1">
      <c r="H853" s="3"/>
      <c r="J853" s="5"/>
    </row>
    <row r="854" ht="15.75" customHeight="1">
      <c r="H854" s="3"/>
      <c r="J854" s="5"/>
    </row>
    <row r="855" ht="15.75" customHeight="1">
      <c r="H855" s="3"/>
      <c r="J855" s="5"/>
    </row>
    <row r="856" ht="15.75" customHeight="1">
      <c r="H856" s="3"/>
      <c r="J856" s="5"/>
    </row>
    <row r="857" ht="15.75" customHeight="1">
      <c r="H857" s="3"/>
      <c r="J857" s="5"/>
    </row>
    <row r="858" ht="15.75" customHeight="1">
      <c r="H858" s="3"/>
      <c r="J858" s="5"/>
    </row>
    <row r="859" ht="15.75" customHeight="1">
      <c r="H859" s="3"/>
      <c r="J859" s="5"/>
    </row>
    <row r="860" ht="15.75" customHeight="1">
      <c r="H860" s="3"/>
      <c r="J860" s="5"/>
    </row>
    <row r="861" ht="15.75" customHeight="1">
      <c r="H861" s="3"/>
      <c r="J861" s="5"/>
    </row>
    <row r="862" ht="15.75" customHeight="1">
      <c r="H862" s="3"/>
      <c r="J862" s="5"/>
    </row>
    <row r="863" ht="15.75" customHeight="1">
      <c r="H863" s="3"/>
      <c r="J863" s="5"/>
    </row>
    <row r="864" ht="15.75" customHeight="1">
      <c r="H864" s="3"/>
      <c r="J864" s="5"/>
    </row>
    <row r="865" ht="15.75" customHeight="1">
      <c r="H865" s="3"/>
      <c r="J865" s="5"/>
    </row>
    <row r="866" ht="15.75" customHeight="1">
      <c r="H866" s="3"/>
      <c r="J866" s="5"/>
    </row>
    <row r="867" ht="15.75" customHeight="1">
      <c r="H867" s="3"/>
      <c r="J867" s="5"/>
    </row>
    <row r="868" ht="15.75" customHeight="1">
      <c r="H868" s="3"/>
      <c r="J868" s="5"/>
    </row>
    <row r="869" ht="15.75" customHeight="1">
      <c r="H869" s="3"/>
      <c r="J869" s="5"/>
    </row>
    <row r="870" ht="15.75" customHeight="1">
      <c r="H870" s="3"/>
      <c r="J870" s="5"/>
    </row>
    <row r="871" ht="15.75" customHeight="1">
      <c r="H871" s="3"/>
      <c r="J871" s="5"/>
    </row>
    <row r="872" ht="15.75" customHeight="1">
      <c r="H872" s="3"/>
      <c r="J872" s="5"/>
    </row>
    <row r="873" ht="15.75" customHeight="1">
      <c r="H873" s="3"/>
      <c r="J873" s="5"/>
    </row>
    <row r="874" ht="15.75" customHeight="1">
      <c r="H874" s="3"/>
      <c r="J874" s="5"/>
    </row>
    <row r="875" ht="15.75" customHeight="1">
      <c r="H875" s="3"/>
      <c r="J875" s="5"/>
    </row>
    <row r="876" ht="15.75" customHeight="1">
      <c r="H876" s="3"/>
      <c r="J876" s="5"/>
    </row>
    <row r="877" ht="15.75" customHeight="1">
      <c r="H877" s="3"/>
      <c r="J877" s="5"/>
    </row>
    <row r="878" ht="15.75" customHeight="1">
      <c r="H878" s="3"/>
      <c r="J878" s="5"/>
    </row>
    <row r="879" ht="15.75" customHeight="1">
      <c r="H879" s="3"/>
      <c r="J879" s="5"/>
    </row>
    <row r="880" ht="15.75" customHeight="1">
      <c r="H880" s="3"/>
      <c r="J880" s="5"/>
    </row>
    <row r="881" ht="15.75" customHeight="1">
      <c r="H881" s="3"/>
      <c r="J881" s="5"/>
    </row>
    <row r="882" ht="15.75" customHeight="1">
      <c r="H882" s="3"/>
      <c r="J882" s="5"/>
    </row>
    <row r="883" ht="15.75" customHeight="1">
      <c r="H883" s="3"/>
      <c r="J883" s="5"/>
    </row>
    <row r="884" ht="15.75" customHeight="1">
      <c r="H884" s="3"/>
      <c r="J884" s="5"/>
    </row>
    <row r="885" ht="15.75" customHeight="1">
      <c r="H885" s="3"/>
      <c r="J885" s="5"/>
    </row>
    <row r="886" ht="15.75" customHeight="1">
      <c r="H886" s="3"/>
      <c r="J886" s="5"/>
    </row>
    <row r="887" ht="15.75" customHeight="1">
      <c r="H887" s="3"/>
      <c r="J887" s="5"/>
    </row>
    <row r="888" ht="15.75" customHeight="1">
      <c r="H888" s="3"/>
      <c r="J888" s="5"/>
    </row>
    <row r="889" ht="15.75" customHeight="1">
      <c r="H889" s="3"/>
      <c r="J889" s="5"/>
    </row>
    <row r="890" ht="15.75" customHeight="1">
      <c r="H890" s="3"/>
      <c r="J890" s="5"/>
    </row>
    <row r="891" ht="15.75" customHeight="1">
      <c r="H891" s="3"/>
      <c r="J891" s="5"/>
    </row>
    <row r="892" ht="15.75" customHeight="1">
      <c r="H892" s="3"/>
      <c r="J892" s="5"/>
    </row>
    <row r="893" ht="15.75" customHeight="1">
      <c r="H893" s="3"/>
      <c r="J893" s="5"/>
    </row>
    <row r="894" ht="15.75" customHeight="1">
      <c r="H894" s="3"/>
      <c r="J894" s="5"/>
    </row>
    <row r="895" ht="15.75" customHeight="1">
      <c r="H895" s="3"/>
      <c r="J895" s="5"/>
    </row>
    <row r="896" ht="15.75" customHeight="1">
      <c r="H896" s="3"/>
      <c r="J896" s="5"/>
    </row>
    <row r="897" ht="15.75" customHeight="1">
      <c r="H897" s="3"/>
      <c r="J897" s="5"/>
    </row>
    <row r="898" ht="15.75" customHeight="1">
      <c r="H898" s="3"/>
      <c r="J898" s="5"/>
    </row>
    <row r="899" ht="15.75" customHeight="1">
      <c r="H899" s="3"/>
      <c r="J899" s="5"/>
    </row>
    <row r="900" ht="15.75" customHeight="1">
      <c r="H900" s="3"/>
      <c r="J900" s="5"/>
    </row>
    <row r="901" ht="15.75" customHeight="1">
      <c r="H901" s="3"/>
      <c r="J901" s="5"/>
    </row>
    <row r="902" ht="15.75" customHeight="1">
      <c r="H902" s="3"/>
      <c r="J902" s="5"/>
    </row>
    <row r="903" ht="15.75" customHeight="1">
      <c r="H903" s="3"/>
      <c r="J903" s="5"/>
    </row>
    <row r="904" ht="15.75" customHeight="1">
      <c r="H904" s="3"/>
      <c r="J904" s="5"/>
    </row>
    <row r="905" ht="15.75" customHeight="1">
      <c r="H905" s="3"/>
      <c r="J905" s="5"/>
    </row>
    <row r="906" ht="15.75" customHeight="1">
      <c r="H906" s="3"/>
      <c r="J906" s="5"/>
    </row>
    <row r="907" ht="15.75" customHeight="1">
      <c r="H907" s="3"/>
      <c r="J907" s="5"/>
    </row>
    <row r="908" ht="15.75" customHeight="1">
      <c r="H908" s="3"/>
      <c r="J908" s="5"/>
    </row>
    <row r="909" ht="15.75" customHeight="1">
      <c r="H909" s="3"/>
      <c r="J909" s="5"/>
    </row>
    <row r="910" ht="15.75" customHeight="1">
      <c r="H910" s="3"/>
      <c r="J910" s="5"/>
    </row>
    <row r="911" ht="15.75" customHeight="1">
      <c r="H911" s="3"/>
      <c r="J911" s="5"/>
    </row>
    <row r="912" ht="15.75" customHeight="1">
      <c r="H912" s="3"/>
      <c r="J912" s="5"/>
    </row>
    <row r="913" ht="15.75" customHeight="1">
      <c r="H913" s="3"/>
      <c r="J913" s="5"/>
    </row>
    <row r="914" ht="15.75" customHeight="1">
      <c r="H914" s="3"/>
      <c r="J914" s="5"/>
    </row>
    <row r="915" ht="15.75" customHeight="1">
      <c r="H915" s="3"/>
      <c r="J915" s="5"/>
    </row>
    <row r="916" ht="15.75" customHeight="1">
      <c r="H916" s="3"/>
      <c r="J916" s="5"/>
    </row>
    <row r="917" ht="15.75" customHeight="1">
      <c r="H917" s="3"/>
      <c r="J917" s="5"/>
    </row>
    <row r="918" ht="15.75" customHeight="1">
      <c r="H918" s="3"/>
      <c r="J918" s="5"/>
    </row>
    <row r="919" ht="15.75" customHeight="1">
      <c r="H919" s="3"/>
      <c r="J919" s="5"/>
    </row>
    <row r="920" ht="15.75" customHeight="1">
      <c r="H920" s="3"/>
      <c r="J920" s="5"/>
    </row>
    <row r="921" ht="15.75" customHeight="1">
      <c r="H921" s="3"/>
      <c r="J921" s="5"/>
    </row>
    <row r="922" ht="15.75" customHeight="1">
      <c r="H922" s="3"/>
      <c r="J922" s="5"/>
    </row>
    <row r="923" ht="15.75" customHeight="1">
      <c r="H923" s="3"/>
      <c r="J923" s="5"/>
    </row>
    <row r="924" ht="15.75" customHeight="1">
      <c r="H924" s="3"/>
      <c r="J924" s="5"/>
    </row>
    <row r="925" ht="15.75" customHeight="1">
      <c r="H925" s="3"/>
      <c r="J925" s="5"/>
    </row>
    <row r="926" ht="15.75" customHeight="1">
      <c r="H926" s="3"/>
      <c r="J926" s="5"/>
    </row>
    <row r="927" ht="15.75" customHeight="1">
      <c r="H927" s="3"/>
      <c r="J927" s="5"/>
    </row>
    <row r="928" ht="15.75" customHeight="1">
      <c r="H928" s="3"/>
      <c r="J928" s="5"/>
    </row>
    <row r="929" ht="15.75" customHeight="1">
      <c r="H929" s="3"/>
      <c r="J929" s="5"/>
    </row>
    <row r="930" ht="15.75" customHeight="1">
      <c r="H930" s="3"/>
      <c r="J930" s="5"/>
    </row>
    <row r="931" ht="15.75" customHeight="1">
      <c r="H931" s="3"/>
      <c r="J931" s="5"/>
    </row>
    <row r="932" ht="15.75" customHeight="1">
      <c r="H932" s="3"/>
      <c r="J932" s="5"/>
    </row>
    <row r="933" ht="15.75" customHeight="1">
      <c r="H933" s="3"/>
      <c r="J933" s="5"/>
    </row>
    <row r="934" ht="15.75" customHeight="1">
      <c r="H934" s="3"/>
      <c r="J934" s="5"/>
    </row>
    <row r="935" ht="15.75" customHeight="1">
      <c r="H935" s="3"/>
      <c r="J935" s="5"/>
    </row>
    <row r="936" ht="15.75" customHeight="1">
      <c r="H936" s="3"/>
      <c r="J936" s="5"/>
    </row>
    <row r="937" ht="15.75" customHeight="1">
      <c r="H937" s="3"/>
      <c r="J937" s="5"/>
    </row>
    <row r="938" ht="15.75" customHeight="1">
      <c r="H938" s="3"/>
      <c r="J938" s="5"/>
    </row>
    <row r="939" ht="15.75" customHeight="1">
      <c r="H939" s="3"/>
      <c r="J939" s="5"/>
    </row>
    <row r="940" ht="15.75" customHeight="1">
      <c r="H940" s="3"/>
      <c r="J940" s="5"/>
    </row>
    <row r="941" ht="15.75" customHeight="1">
      <c r="H941" s="3"/>
      <c r="J941" s="5"/>
    </row>
    <row r="942" ht="15.75" customHeight="1">
      <c r="H942" s="3"/>
      <c r="J942" s="5"/>
    </row>
    <row r="943" ht="15.75" customHeight="1">
      <c r="H943" s="3"/>
      <c r="J943" s="5"/>
    </row>
    <row r="944" ht="15.75" customHeight="1">
      <c r="H944" s="3"/>
      <c r="J944" s="5"/>
    </row>
    <row r="945" ht="15.75" customHeight="1">
      <c r="H945" s="3"/>
      <c r="J945" s="5"/>
    </row>
    <row r="946" ht="15.75" customHeight="1">
      <c r="H946" s="3"/>
      <c r="J946" s="5"/>
    </row>
    <row r="947" ht="15.75" customHeight="1">
      <c r="H947" s="3"/>
      <c r="J947" s="5"/>
    </row>
    <row r="948" ht="15.75" customHeight="1">
      <c r="H948" s="3"/>
      <c r="J948" s="5"/>
    </row>
    <row r="949" ht="15.75" customHeight="1">
      <c r="H949" s="3"/>
      <c r="J949" s="5"/>
    </row>
    <row r="950" ht="15.75" customHeight="1">
      <c r="H950" s="3"/>
      <c r="J950" s="5"/>
    </row>
    <row r="951" ht="15.75" customHeight="1">
      <c r="H951" s="3"/>
      <c r="J951" s="5"/>
    </row>
    <row r="952" ht="15.75" customHeight="1">
      <c r="H952" s="3"/>
      <c r="J952" s="5"/>
    </row>
    <row r="953" ht="15.75" customHeight="1">
      <c r="H953" s="3"/>
      <c r="J953" s="5"/>
    </row>
    <row r="954" ht="15.75" customHeight="1">
      <c r="H954" s="3"/>
      <c r="J954" s="5"/>
    </row>
    <row r="955" ht="15.75" customHeight="1">
      <c r="H955" s="3"/>
      <c r="J955" s="5"/>
    </row>
    <row r="956" ht="15.75" customHeight="1">
      <c r="H956" s="3"/>
      <c r="J956" s="5"/>
    </row>
    <row r="957" ht="15.75" customHeight="1">
      <c r="H957" s="3"/>
      <c r="J957" s="5"/>
    </row>
    <row r="958" ht="15.75" customHeight="1">
      <c r="H958" s="3"/>
      <c r="J958" s="5"/>
    </row>
    <row r="959" ht="15.75" customHeight="1">
      <c r="H959" s="3"/>
      <c r="J959" s="5"/>
    </row>
    <row r="960" ht="15.75" customHeight="1">
      <c r="H960" s="3"/>
      <c r="J960" s="5"/>
    </row>
    <row r="961" ht="15.75" customHeight="1">
      <c r="H961" s="3"/>
      <c r="J961" s="5"/>
    </row>
    <row r="962" ht="15.75" customHeight="1">
      <c r="H962" s="3"/>
      <c r="J962" s="5"/>
    </row>
    <row r="963" ht="15.75" customHeight="1">
      <c r="H963" s="3"/>
      <c r="J963" s="5"/>
    </row>
    <row r="964" ht="15.75" customHeight="1">
      <c r="H964" s="3"/>
      <c r="J964" s="5"/>
    </row>
    <row r="965" ht="15.75" customHeight="1">
      <c r="H965" s="3"/>
      <c r="J965" s="5"/>
    </row>
    <row r="966" ht="15.75" customHeight="1">
      <c r="H966" s="3"/>
      <c r="J966" s="5"/>
    </row>
    <row r="967" ht="15.75" customHeight="1">
      <c r="H967" s="3"/>
      <c r="J967" s="5"/>
    </row>
    <row r="968" ht="15.75" customHeight="1">
      <c r="H968" s="3"/>
      <c r="J968" s="5"/>
    </row>
    <row r="969" ht="15.75" customHeight="1">
      <c r="H969" s="3"/>
      <c r="J969" s="5"/>
    </row>
    <row r="970" ht="15.75" customHeight="1">
      <c r="H970" s="3"/>
      <c r="J970" s="5"/>
    </row>
    <row r="971" ht="15.75" customHeight="1">
      <c r="H971" s="3"/>
      <c r="J971" s="5"/>
    </row>
    <row r="972" ht="15.75" customHeight="1">
      <c r="H972" s="3"/>
      <c r="J972" s="5"/>
    </row>
    <row r="973" ht="15.75" customHeight="1">
      <c r="H973" s="3"/>
      <c r="J973" s="5"/>
    </row>
    <row r="974" ht="15.75" customHeight="1">
      <c r="H974" s="3"/>
      <c r="J974" s="5"/>
    </row>
    <row r="975" ht="15.75" customHeight="1">
      <c r="H975" s="3"/>
      <c r="J975" s="5"/>
    </row>
    <row r="976" ht="15.75" customHeight="1">
      <c r="H976" s="3"/>
      <c r="J976" s="5"/>
    </row>
    <row r="977" ht="15.75" customHeight="1">
      <c r="H977" s="3"/>
      <c r="J977" s="5"/>
    </row>
    <row r="978" ht="15.75" customHeight="1">
      <c r="H978" s="3"/>
      <c r="J978" s="5"/>
    </row>
    <row r="979" ht="15.75" customHeight="1">
      <c r="H979" s="3"/>
      <c r="J979" s="5"/>
    </row>
    <row r="980" ht="15.75" customHeight="1">
      <c r="H980" s="3"/>
      <c r="J980" s="5"/>
    </row>
    <row r="981" ht="15.75" customHeight="1">
      <c r="H981" s="3"/>
      <c r="J981" s="5"/>
    </row>
    <row r="982" ht="15.75" customHeight="1">
      <c r="H982" s="3"/>
      <c r="J982" s="5"/>
    </row>
    <row r="983" ht="15.75" customHeight="1">
      <c r="H983" s="3"/>
      <c r="J983" s="5"/>
    </row>
    <row r="984" ht="15.75" customHeight="1">
      <c r="H984" s="3"/>
      <c r="J984" s="5"/>
    </row>
    <row r="985" ht="15.75" customHeight="1">
      <c r="H985" s="3"/>
      <c r="J985" s="5"/>
    </row>
    <row r="986" ht="15.75" customHeight="1">
      <c r="H986" s="3"/>
      <c r="J986" s="5"/>
    </row>
    <row r="987" ht="15.75" customHeight="1">
      <c r="H987" s="3"/>
      <c r="J987" s="5"/>
    </row>
    <row r="988" ht="15.75" customHeight="1">
      <c r="H988" s="3"/>
      <c r="J988" s="5"/>
    </row>
    <row r="989" ht="15.75" customHeight="1">
      <c r="H989" s="3"/>
      <c r="J989" s="5"/>
    </row>
    <row r="990" ht="15.75" customHeight="1">
      <c r="H990" s="3"/>
      <c r="J990" s="5"/>
    </row>
    <row r="991" ht="15.75" customHeight="1">
      <c r="H991" s="3"/>
      <c r="J991" s="5"/>
    </row>
    <row r="992" ht="15.75" customHeight="1">
      <c r="H992" s="3"/>
      <c r="J992" s="5"/>
    </row>
    <row r="993" ht="15.75" customHeight="1">
      <c r="H993" s="3"/>
      <c r="J993" s="5"/>
    </row>
    <row r="994" ht="15.75" customHeight="1">
      <c r="H994" s="3"/>
      <c r="J994" s="5"/>
    </row>
    <row r="995" ht="15.75" customHeight="1">
      <c r="H995" s="3"/>
      <c r="J995" s="5"/>
    </row>
    <row r="996" ht="15.75" customHeight="1">
      <c r="H996" s="3"/>
      <c r="J996" s="5"/>
    </row>
    <row r="997" ht="15.75" customHeight="1">
      <c r="H997" s="3"/>
      <c r="J997" s="5"/>
    </row>
    <row r="998" ht="15.75" customHeight="1">
      <c r="H998" s="3"/>
      <c r="J998" s="5"/>
    </row>
    <row r="999" ht="15.75" customHeight="1">
      <c r="H999" s="3"/>
      <c r="J999" s="5"/>
    </row>
    <row r="1000" ht="15.75" customHeight="1">
      <c r="H1000" s="3"/>
      <c r="J1000" s="5"/>
    </row>
    <row r="1001" ht="15.75" customHeight="1">
      <c r="H1001" s="3"/>
      <c r="J1001" s="5"/>
    </row>
    <row r="1002" ht="15.75" customHeight="1">
      <c r="H1002" s="3"/>
      <c r="J1002" s="5"/>
    </row>
    <row r="1003" ht="15.75" customHeight="1">
      <c r="H1003" s="3"/>
      <c r="J1003" s="5"/>
    </row>
    <row r="1004" ht="15.75" customHeight="1">
      <c r="H1004" s="3"/>
      <c r="J1004" s="5"/>
    </row>
    <row r="1005" ht="15.75" customHeight="1">
      <c r="H1005" s="3"/>
      <c r="J1005" s="5"/>
    </row>
    <row r="1006" ht="15.75" customHeight="1">
      <c r="H1006" s="3"/>
      <c r="J1006" s="5"/>
    </row>
    <row r="1007" ht="15.75" customHeight="1">
      <c r="H1007" s="3"/>
      <c r="J1007" s="5"/>
    </row>
    <row r="1008" ht="15.75" customHeight="1">
      <c r="H1008" s="3"/>
      <c r="J1008" s="5"/>
    </row>
    <row r="1009" ht="15.75" customHeight="1">
      <c r="H1009" s="3"/>
      <c r="J1009" s="5"/>
    </row>
    <row r="1010" ht="15.75" customHeight="1">
      <c r="H1010" s="3"/>
      <c r="J1010" s="5"/>
    </row>
    <row r="1011" ht="15.75" customHeight="1">
      <c r="H1011" s="3"/>
      <c r="J1011" s="5"/>
    </row>
    <row r="1012" ht="15.75" customHeight="1">
      <c r="H1012" s="3"/>
      <c r="J1012" s="5"/>
    </row>
    <row r="1013" ht="15.75" customHeight="1">
      <c r="H1013" s="3"/>
      <c r="J1013" s="5"/>
    </row>
    <row r="1014" ht="15.75" customHeight="1">
      <c r="H1014" s="3"/>
      <c r="J1014" s="5"/>
    </row>
    <row r="1015" ht="15.75" customHeight="1">
      <c r="H1015" s="3"/>
      <c r="J1015" s="5"/>
    </row>
    <row r="1016" ht="15.75" customHeight="1">
      <c r="H1016" s="3"/>
      <c r="J1016" s="5"/>
    </row>
    <row r="1017" ht="15.75" customHeight="1">
      <c r="H1017" s="3"/>
      <c r="J1017" s="5"/>
    </row>
    <row r="1018" ht="15.75" customHeight="1">
      <c r="H1018" s="3"/>
      <c r="J1018" s="5"/>
    </row>
    <row r="1019" ht="15.75" customHeight="1">
      <c r="H1019" s="3"/>
      <c r="J1019" s="5"/>
    </row>
    <row r="1020" ht="15.75" customHeight="1">
      <c r="H1020" s="3"/>
      <c r="J1020" s="5"/>
    </row>
    <row r="1021" ht="15.75" customHeight="1">
      <c r="H1021" s="3"/>
      <c r="J1021" s="5"/>
    </row>
    <row r="1022" ht="15.75" customHeight="1">
      <c r="H1022" s="3"/>
      <c r="J1022" s="5"/>
    </row>
    <row r="1023" ht="15.75" customHeight="1">
      <c r="H1023" s="3"/>
      <c r="J1023" s="5"/>
    </row>
    <row r="1024" ht="15.75" customHeight="1">
      <c r="H1024" s="3"/>
      <c r="J1024" s="5"/>
    </row>
  </sheetData>
  <mergeCells count="74">
    <mergeCell ref="J38:J43"/>
    <mergeCell ref="J44:J48"/>
    <mergeCell ref="J49:J52"/>
    <mergeCell ref="J53:J58"/>
    <mergeCell ref="J59:J60"/>
    <mergeCell ref="J61:J66"/>
    <mergeCell ref="J67:J69"/>
    <mergeCell ref="J4:J7"/>
    <mergeCell ref="J8:J11"/>
    <mergeCell ref="J12:J18"/>
    <mergeCell ref="J19:J22"/>
    <mergeCell ref="J23:J25"/>
    <mergeCell ref="J26:J31"/>
    <mergeCell ref="J32:J35"/>
    <mergeCell ref="C59:C60"/>
    <mergeCell ref="D59:D60"/>
    <mergeCell ref="E59:E60"/>
    <mergeCell ref="B49:B52"/>
    <mergeCell ref="C49:C52"/>
    <mergeCell ref="D49:D52"/>
    <mergeCell ref="E49:E52"/>
    <mergeCell ref="C53:C58"/>
    <mergeCell ref="D53:D58"/>
    <mergeCell ref="E53:E58"/>
    <mergeCell ref="B67:B69"/>
    <mergeCell ref="C67:C69"/>
    <mergeCell ref="D67:D69"/>
    <mergeCell ref="E67:E69"/>
    <mergeCell ref="G67:G69"/>
    <mergeCell ref="B53:B58"/>
    <mergeCell ref="B59:B60"/>
    <mergeCell ref="B61:B66"/>
    <mergeCell ref="C61:C66"/>
    <mergeCell ref="D61:D66"/>
    <mergeCell ref="E61:E66"/>
    <mergeCell ref="G61:G66"/>
    <mergeCell ref="A2:I2"/>
    <mergeCell ref="B4:B7"/>
    <mergeCell ref="C4:C7"/>
    <mergeCell ref="D4:D7"/>
    <mergeCell ref="E4:E7"/>
    <mergeCell ref="B8:B11"/>
    <mergeCell ref="E8:E11"/>
    <mergeCell ref="C19:C22"/>
    <mergeCell ref="D19:D22"/>
    <mergeCell ref="C23:C25"/>
    <mergeCell ref="D23:D25"/>
    <mergeCell ref="E23:E25"/>
    <mergeCell ref="C8:C11"/>
    <mergeCell ref="D8:D11"/>
    <mergeCell ref="B12:B18"/>
    <mergeCell ref="C12:C18"/>
    <mergeCell ref="D12:D18"/>
    <mergeCell ref="E12:E18"/>
    <mergeCell ref="E19:E22"/>
    <mergeCell ref="C32:C35"/>
    <mergeCell ref="D32:D35"/>
    <mergeCell ref="G32:G35"/>
    <mergeCell ref="B19:B22"/>
    <mergeCell ref="B23:B25"/>
    <mergeCell ref="B26:B31"/>
    <mergeCell ref="C26:C31"/>
    <mergeCell ref="D26:D31"/>
    <mergeCell ref="E26:E31"/>
    <mergeCell ref="E32:E35"/>
    <mergeCell ref="D44:D48"/>
    <mergeCell ref="E44:E48"/>
    <mergeCell ref="B32:B35"/>
    <mergeCell ref="B38:B43"/>
    <mergeCell ref="C38:C43"/>
    <mergeCell ref="D38:D43"/>
    <mergeCell ref="E38:E43"/>
    <mergeCell ref="B44:B48"/>
    <mergeCell ref="C44:C48"/>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3.57"/>
    <col customWidth="1" min="3" max="3" width="17.43"/>
    <col customWidth="1" min="4" max="4" width="36.14"/>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79.14"/>
    <col customWidth="1" min="19" max="20" width="28.0"/>
    <col customWidth="1" min="21" max="21" width="84.43"/>
    <col customWidth="1" min="22" max="22" width="34.0"/>
    <col customWidth="1" min="23" max="23" width="48.57"/>
    <col customWidth="1" min="24" max="24" width="22.0"/>
    <col customWidth="1" min="25" max="26" width="8.71"/>
  </cols>
  <sheetData>
    <row r="1" ht="30.0" customHeight="1">
      <c r="A1" s="2"/>
      <c r="B1" s="4" t="s">
        <v>2</v>
      </c>
      <c r="C1" s="4" t="s">
        <v>4</v>
      </c>
      <c r="D1" s="4" t="s">
        <v>5</v>
      </c>
      <c r="E1" s="4" t="s">
        <v>7</v>
      </c>
      <c r="F1" s="4" t="s">
        <v>12</v>
      </c>
      <c r="G1" s="4" t="s">
        <v>16</v>
      </c>
      <c r="H1" s="4" t="s">
        <v>8</v>
      </c>
      <c r="I1" s="11" t="s">
        <v>23</v>
      </c>
      <c r="J1" s="13"/>
      <c r="K1" s="13"/>
      <c r="L1" s="13"/>
      <c r="M1" s="14"/>
      <c r="N1" s="16" t="s">
        <v>42</v>
      </c>
      <c r="O1" s="4" t="s">
        <v>49</v>
      </c>
      <c r="P1" s="4" t="s">
        <v>55</v>
      </c>
      <c r="Q1" s="4" t="s">
        <v>60</v>
      </c>
      <c r="R1" s="4" t="s">
        <v>64</v>
      </c>
      <c r="S1" s="4" t="s">
        <v>69</v>
      </c>
      <c r="T1" s="2" t="s">
        <v>74</v>
      </c>
      <c r="U1" s="2" t="s">
        <v>78</v>
      </c>
      <c r="V1" s="21" t="s">
        <v>83</v>
      </c>
      <c r="W1" s="2" t="s">
        <v>89</v>
      </c>
      <c r="X1" s="4" t="s">
        <v>93</v>
      </c>
    </row>
    <row r="2" ht="43.5" customHeight="1">
      <c r="A2" s="22"/>
      <c r="B2" s="22"/>
      <c r="C2" s="22"/>
      <c r="D2" s="22"/>
      <c r="E2" s="22"/>
      <c r="F2" s="22"/>
      <c r="G2" s="22"/>
      <c r="H2" s="22"/>
      <c r="I2" s="24" t="s">
        <v>102</v>
      </c>
      <c r="J2" s="24" t="s">
        <v>104</v>
      </c>
      <c r="K2" s="24" t="s">
        <v>106</v>
      </c>
      <c r="L2" s="24" t="s">
        <v>108</v>
      </c>
      <c r="M2" s="24" t="s">
        <v>109</v>
      </c>
      <c r="N2" s="22"/>
      <c r="O2" s="22"/>
      <c r="P2" s="22"/>
      <c r="Q2" s="22"/>
      <c r="R2" s="22"/>
      <c r="S2" s="22"/>
      <c r="T2" s="22"/>
      <c r="U2" s="22"/>
      <c r="V2" s="22"/>
      <c r="W2" s="22"/>
      <c r="X2" s="22"/>
    </row>
    <row r="3" ht="208.5" customHeight="1">
      <c r="A3" s="27" t="s">
        <v>114</v>
      </c>
      <c r="B3" s="29" t="s">
        <v>120</v>
      </c>
      <c r="C3" s="30" t="s">
        <v>127</v>
      </c>
      <c r="D3" s="30" t="s">
        <v>131</v>
      </c>
      <c r="E3" s="30" t="s">
        <v>132</v>
      </c>
      <c r="F3" s="33" t="s">
        <v>134</v>
      </c>
      <c r="G3" s="33" t="s">
        <v>141</v>
      </c>
      <c r="H3" s="34" t="s">
        <v>53</v>
      </c>
      <c r="I3" s="37" t="s">
        <v>145</v>
      </c>
      <c r="J3" s="37" t="s">
        <v>147</v>
      </c>
      <c r="K3" s="37" t="s">
        <v>148</v>
      </c>
      <c r="L3" s="37" t="s">
        <v>149</v>
      </c>
      <c r="M3" s="37" t="s">
        <v>150</v>
      </c>
      <c r="N3" s="40" t="s">
        <v>151</v>
      </c>
      <c r="O3" s="34" t="s">
        <v>153</v>
      </c>
      <c r="P3" s="34" t="s">
        <v>154</v>
      </c>
      <c r="Q3" s="33" t="s">
        <v>155</v>
      </c>
      <c r="R3" s="30" t="s">
        <v>160</v>
      </c>
      <c r="S3" s="33" t="s">
        <v>163</v>
      </c>
      <c r="T3" s="44" t="s">
        <v>167</v>
      </c>
      <c r="U3" s="44" t="s">
        <v>173</v>
      </c>
      <c r="V3" s="45" t="s">
        <v>175</v>
      </c>
      <c r="W3" s="48" t="s">
        <v>179</v>
      </c>
      <c r="X3" s="30" t="s">
        <v>183</v>
      </c>
    </row>
    <row r="4" ht="189.0" customHeight="1">
      <c r="A4" s="19"/>
      <c r="B4" s="19"/>
      <c r="C4" s="30" t="s">
        <v>186</v>
      </c>
      <c r="D4" s="30" t="s">
        <v>189</v>
      </c>
      <c r="E4" s="30" t="s">
        <v>190</v>
      </c>
      <c r="F4" s="19"/>
      <c r="G4" s="19"/>
      <c r="H4" s="34" t="s">
        <v>53</v>
      </c>
      <c r="I4" s="37" t="s">
        <v>193</v>
      </c>
      <c r="J4" s="37" t="s">
        <v>195</v>
      </c>
      <c r="K4" s="37" t="s">
        <v>197</v>
      </c>
      <c r="L4" s="37" t="s">
        <v>199</v>
      </c>
      <c r="M4" s="37" t="s">
        <v>201</v>
      </c>
      <c r="N4" s="40" t="s">
        <v>203</v>
      </c>
      <c r="O4" s="34" t="s">
        <v>206</v>
      </c>
      <c r="P4" s="34" t="s">
        <v>207</v>
      </c>
      <c r="Q4" s="19"/>
      <c r="R4" s="30" t="s">
        <v>210</v>
      </c>
      <c r="S4" s="19"/>
      <c r="T4" s="44" t="s">
        <v>212</v>
      </c>
      <c r="U4" s="44" t="s">
        <v>217</v>
      </c>
      <c r="V4" s="45" t="s">
        <v>219</v>
      </c>
      <c r="W4" s="19"/>
      <c r="X4" s="30" t="s">
        <v>183</v>
      </c>
    </row>
    <row r="5" ht="181.5" customHeight="1">
      <c r="A5" s="19"/>
      <c r="B5" s="19"/>
      <c r="C5" s="30" t="s">
        <v>223</v>
      </c>
      <c r="D5" s="30" t="s">
        <v>225</v>
      </c>
      <c r="E5" s="30" t="s">
        <v>226</v>
      </c>
      <c r="F5" s="19"/>
      <c r="G5" s="19"/>
      <c r="H5" s="34" t="s">
        <v>77</v>
      </c>
      <c r="I5" s="37" t="s">
        <v>230</v>
      </c>
      <c r="J5" s="37" t="s">
        <v>232</v>
      </c>
      <c r="K5" s="37" t="s">
        <v>235</v>
      </c>
      <c r="L5" s="37" t="s">
        <v>237</v>
      </c>
      <c r="M5" s="37" t="s">
        <v>239</v>
      </c>
      <c r="N5" s="40" t="s">
        <v>240</v>
      </c>
      <c r="O5" s="34" t="s">
        <v>242</v>
      </c>
      <c r="P5" s="34" t="s">
        <v>244</v>
      </c>
      <c r="Q5" s="19"/>
      <c r="R5" s="30" t="s">
        <v>246</v>
      </c>
      <c r="S5" s="19"/>
      <c r="T5" s="44" t="s">
        <v>248</v>
      </c>
      <c r="U5" s="44" t="s">
        <v>253</v>
      </c>
      <c r="V5" s="45" t="s">
        <v>254</v>
      </c>
      <c r="W5" s="19"/>
      <c r="X5" s="30" t="s">
        <v>184</v>
      </c>
    </row>
    <row r="6" ht="178.5" customHeight="1">
      <c r="A6" s="22"/>
      <c r="B6" s="22"/>
      <c r="C6" s="30" t="s">
        <v>257</v>
      </c>
      <c r="D6" s="30" t="s">
        <v>260</v>
      </c>
      <c r="E6" s="30" t="s">
        <v>262</v>
      </c>
      <c r="F6" s="19"/>
      <c r="G6" s="19"/>
      <c r="H6" s="34" t="s">
        <v>22</v>
      </c>
      <c r="I6" s="37" t="s">
        <v>266</v>
      </c>
      <c r="J6" s="37" t="s">
        <v>268</v>
      </c>
      <c r="K6" s="37" t="s">
        <v>270</v>
      </c>
      <c r="L6" s="37" t="s">
        <v>271</v>
      </c>
      <c r="M6" s="37" t="s">
        <v>275</v>
      </c>
      <c r="N6" s="40" t="s">
        <v>276</v>
      </c>
      <c r="O6" s="34" t="s">
        <v>278</v>
      </c>
      <c r="P6" s="34" t="s">
        <v>280</v>
      </c>
      <c r="Q6" s="19"/>
      <c r="R6" s="30" t="s">
        <v>283</v>
      </c>
      <c r="S6" s="19"/>
      <c r="T6" s="44" t="s">
        <v>286</v>
      </c>
      <c r="U6" s="44" t="s">
        <v>292</v>
      </c>
      <c r="V6" s="45" t="s">
        <v>293</v>
      </c>
      <c r="W6" s="22"/>
      <c r="X6" s="30" t="s">
        <v>184</v>
      </c>
    </row>
    <row r="7" ht="186.0" customHeight="1">
      <c r="A7" s="27" t="s">
        <v>296</v>
      </c>
      <c r="B7" s="50" t="s">
        <v>303</v>
      </c>
      <c r="C7" s="51" t="s">
        <v>308</v>
      </c>
      <c r="D7" s="51" t="s">
        <v>312</v>
      </c>
      <c r="E7" s="51" t="s">
        <v>313</v>
      </c>
      <c r="F7" s="33" t="s">
        <v>315</v>
      </c>
      <c r="G7" s="33" t="s">
        <v>319</v>
      </c>
      <c r="H7" s="52" t="s">
        <v>53</v>
      </c>
      <c r="I7" s="53" t="s">
        <v>324</v>
      </c>
      <c r="J7" s="53" t="s">
        <v>330</v>
      </c>
      <c r="K7" s="53" t="s">
        <v>332</v>
      </c>
      <c r="L7" s="53" t="s">
        <v>333</v>
      </c>
      <c r="M7" s="53" t="s">
        <v>335</v>
      </c>
      <c r="N7" s="54" t="s">
        <v>337</v>
      </c>
      <c r="O7" s="52" t="s">
        <v>340</v>
      </c>
      <c r="P7" s="52" t="s">
        <v>342</v>
      </c>
      <c r="Q7" s="33" t="s">
        <v>344</v>
      </c>
      <c r="R7" s="55" t="s">
        <v>348</v>
      </c>
      <c r="S7" s="33" t="s">
        <v>349</v>
      </c>
      <c r="T7" s="44" t="s">
        <v>352</v>
      </c>
      <c r="U7" s="44" t="s">
        <v>355</v>
      </c>
      <c r="V7" s="45" t="s">
        <v>357</v>
      </c>
      <c r="W7" s="48" t="s">
        <v>359</v>
      </c>
      <c r="X7" s="30" t="s">
        <v>184</v>
      </c>
    </row>
    <row r="8" ht="171.0" customHeight="1">
      <c r="A8" s="19"/>
      <c r="B8" s="19"/>
      <c r="C8" s="51" t="s">
        <v>364</v>
      </c>
      <c r="D8" s="51" t="s">
        <v>365</v>
      </c>
      <c r="E8" s="51" t="s">
        <v>366</v>
      </c>
      <c r="F8" s="19"/>
      <c r="G8" s="19"/>
      <c r="H8" s="52" t="s">
        <v>77</v>
      </c>
      <c r="I8" s="53" t="s">
        <v>368</v>
      </c>
      <c r="J8" s="53" t="s">
        <v>369</v>
      </c>
      <c r="K8" s="53" t="s">
        <v>370</v>
      </c>
      <c r="L8" s="53" t="s">
        <v>371</v>
      </c>
      <c r="M8" s="53" t="s">
        <v>372</v>
      </c>
      <c r="N8" s="54" t="s">
        <v>373</v>
      </c>
      <c r="O8" s="52" t="s">
        <v>375</v>
      </c>
      <c r="P8" s="52" t="s">
        <v>376</v>
      </c>
      <c r="Q8" s="19"/>
      <c r="R8" s="55" t="s">
        <v>379</v>
      </c>
      <c r="S8" s="19"/>
      <c r="T8" s="44" t="s">
        <v>383</v>
      </c>
      <c r="U8" s="44" t="s">
        <v>385</v>
      </c>
      <c r="V8" s="45" t="s">
        <v>387</v>
      </c>
      <c r="W8" s="19"/>
      <c r="X8" s="30" t="s">
        <v>184</v>
      </c>
    </row>
    <row r="9" ht="229.5" customHeight="1">
      <c r="A9" s="19"/>
      <c r="B9" s="19"/>
      <c r="C9" s="51" t="s">
        <v>390</v>
      </c>
      <c r="D9" s="51" t="s">
        <v>391</v>
      </c>
      <c r="E9" s="51" t="s">
        <v>393</v>
      </c>
      <c r="F9" s="19"/>
      <c r="G9" s="19"/>
      <c r="H9" s="52" t="s">
        <v>53</v>
      </c>
      <c r="I9" s="53" t="s">
        <v>396</v>
      </c>
      <c r="J9" s="53" t="s">
        <v>398</v>
      </c>
      <c r="K9" s="53" t="s">
        <v>400</v>
      </c>
      <c r="L9" s="53" t="s">
        <v>401</v>
      </c>
      <c r="M9" s="53" t="s">
        <v>402</v>
      </c>
      <c r="N9" s="54" t="s">
        <v>403</v>
      </c>
      <c r="O9" s="52" t="s">
        <v>405</v>
      </c>
      <c r="P9" s="52" t="s">
        <v>406</v>
      </c>
      <c r="Q9" s="19"/>
      <c r="R9" s="51" t="s">
        <v>408</v>
      </c>
      <c r="S9" s="19"/>
      <c r="T9" s="44" t="s">
        <v>410</v>
      </c>
      <c r="U9" s="44" t="s">
        <v>413</v>
      </c>
      <c r="V9" s="45" t="s">
        <v>415</v>
      </c>
      <c r="W9" s="19"/>
      <c r="X9" s="30" t="s">
        <v>184</v>
      </c>
    </row>
    <row r="10" ht="202.5" customHeight="1">
      <c r="A10" s="22"/>
      <c r="B10" s="22"/>
      <c r="C10" s="51" t="s">
        <v>417</v>
      </c>
      <c r="D10" s="51" t="s">
        <v>418</v>
      </c>
      <c r="E10" s="51" t="s">
        <v>420</v>
      </c>
      <c r="F10" s="22"/>
      <c r="G10" s="22"/>
      <c r="H10" s="52" t="s">
        <v>53</v>
      </c>
      <c r="I10" s="53" t="s">
        <v>422</v>
      </c>
      <c r="J10" s="53" t="s">
        <v>423</v>
      </c>
      <c r="K10" s="53" t="s">
        <v>424</v>
      </c>
      <c r="L10" s="53" t="s">
        <v>427</v>
      </c>
      <c r="M10" s="53" t="s">
        <v>428</v>
      </c>
      <c r="N10" s="54" t="s">
        <v>430</v>
      </c>
      <c r="O10" s="52" t="s">
        <v>432</v>
      </c>
      <c r="P10" s="52" t="s">
        <v>433</v>
      </c>
      <c r="Q10" s="22"/>
      <c r="R10" s="55" t="s">
        <v>436</v>
      </c>
      <c r="S10" s="22"/>
      <c r="T10" s="44" t="s">
        <v>438</v>
      </c>
      <c r="U10" s="44" t="s">
        <v>439</v>
      </c>
      <c r="V10" s="45" t="s">
        <v>440</v>
      </c>
      <c r="W10" s="22"/>
      <c r="X10" s="30" t="s">
        <v>184</v>
      </c>
    </row>
    <row r="11" ht="186.0" customHeight="1">
      <c r="A11" s="27" t="s">
        <v>441</v>
      </c>
      <c r="B11" s="50" t="s">
        <v>445</v>
      </c>
      <c r="C11" s="51" t="s">
        <v>450</v>
      </c>
      <c r="D11" s="51" t="s">
        <v>451</v>
      </c>
      <c r="E11" s="51" t="s">
        <v>453</v>
      </c>
      <c r="F11" s="36" t="s">
        <v>455</v>
      </c>
      <c r="G11" s="36" t="s">
        <v>457</v>
      </c>
      <c r="H11" s="52" t="s">
        <v>22</v>
      </c>
      <c r="I11" s="53" t="s">
        <v>461</v>
      </c>
      <c r="J11" s="53" t="s">
        <v>462</v>
      </c>
      <c r="K11" s="53" t="s">
        <v>463</v>
      </c>
      <c r="L11" s="53" t="s">
        <v>464</v>
      </c>
      <c r="M11" s="53" t="s">
        <v>466</v>
      </c>
      <c r="N11" s="54" t="s">
        <v>468</v>
      </c>
      <c r="O11" s="52" t="s">
        <v>470</v>
      </c>
      <c r="P11" s="52" t="s">
        <v>472</v>
      </c>
      <c r="Q11" s="33" t="s">
        <v>474</v>
      </c>
      <c r="R11" s="55" t="s">
        <v>478</v>
      </c>
      <c r="S11" s="33" t="s">
        <v>479</v>
      </c>
      <c r="T11" s="44" t="s">
        <v>483</v>
      </c>
      <c r="U11" s="44" t="s">
        <v>486</v>
      </c>
      <c r="V11" s="45" t="s">
        <v>488</v>
      </c>
      <c r="W11" s="48" t="s">
        <v>490</v>
      </c>
      <c r="X11" s="30" t="s">
        <v>184</v>
      </c>
    </row>
    <row r="12" ht="187.5" customHeight="1">
      <c r="A12" s="19"/>
      <c r="B12" s="19"/>
      <c r="C12" s="51" t="s">
        <v>497</v>
      </c>
      <c r="D12" s="55" t="s">
        <v>499</v>
      </c>
      <c r="E12" s="51" t="s">
        <v>500</v>
      </c>
      <c r="F12" s="19"/>
      <c r="G12" s="19"/>
      <c r="H12" s="52" t="s">
        <v>53</v>
      </c>
      <c r="I12" s="53" t="s">
        <v>503</v>
      </c>
      <c r="J12" s="53" t="s">
        <v>504</v>
      </c>
      <c r="K12" s="53" t="s">
        <v>506</v>
      </c>
      <c r="L12" s="53" t="s">
        <v>507</v>
      </c>
      <c r="M12" s="53" t="s">
        <v>510</v>
      </c>
      <c r="N12" s="54" t="s">
        <v>512</v>
      </c>
      <c r="O12" s="52" t="s">
        <v>514</v>
      </c>
      <c r="P12" s="52" t="s">
        <v>515</v>
      </c>
      <c r="Q12" s="19"/>
      <c r="R12" s="55" t="s">
        <v>517</v>
      </c>
      <c r="S12" s="19"/>
      <c r="T12" s="44" t="s">
        <v>520</v>
      </c>
      <c r="U12" s="44" t="s">
        <v>524</v>
      </c>
      <c r="V12" s="45" t="s">
        <v>527</v>
      </c>
      <c r="W12" s="19"/>
      <c r="X12" s="30" t="s">
        <v>184</v>
      </c>
    </row>
    <row r="13" ht="219.0" customHeight="1">
      <c r="A13" s="19"/>
      <c r="B13" s="19"/>
      <c r="C13" s="51" t="s">
        <v>533</v>
      </c>
      <c r="D13" s="55" t="s">
        <v>535</v>
      </c>
      <c r="E13" s="51" t="s">
        <v>537</v>
      </c>
      <c r="F13" s="19"/>
      <c r="G13" s="19"/>
      <c r="H13" s="52" t="s">
        <v>22</v>
      </c>
      <c r="I13" s="53" t="s">
        <v>539</v>
      </c>
      <c r="J13" s="53" t="s">
        <v>540</v>
      </c>
      <c r="K13" s="53" t="s">
        <v>542</v>
      </c>
      <c r="L13" s="53" t="s">
        <v>544</v>
      </c>
      <c r="M13" s="53" t="s">
        <v>545</v>
      </c>
      <c r="N13" s="54" t="s">
        <v>547</v>
      </c>
      <c r="O13" s="52" t="s">
        <v>549</v>
      </c>
      <c r="P13" s="52" t="s">
        <v>551</v>
      </c>
      <c r="Q13" s="19"/>
      <c r="R13" s="55" t="s">
        <v>553</v>
      </c>
      <c r="S13" s="19"/>
      <c r="T13" s="44" t="s">
        <v>555</v>
      </c>
      <c r="U13" s="44" t="s">
        <v>558</v>
      </c>
      <c r="V13" s="45" t="s">
        <v>560</v>
      </c>
      <c r="W13" s="19"/>
      <c r="X13" s="30" t="s">
        <v>184</v>
      </c>
    </row>
    <row r="14" ht="207.0" customHeight="1">
      <c r="A14" s="19"/>
      <c r="B14" s="19"/>
      <c r="C14" s="51" t="s">
        <v>565</v>
      </c>
      <c r="D14" s="55" t="s">
        <v>566</v>
      </c>
      <c r="E14" s="51" t="s">
        <v>568</v>
      </c>
      <c r="F14" s="19"/>
      <c r="G14" s="19"/>
      <c r="H14" s="52" t="s">
        <v>53</v>
      </c>
      <c r="I14" s="53" t="s">
        <v>570</v>
      </c>
      <c r="J14" s="53" t="s">
        <v>572</v>
      </c>
      <c r="K14" s="53" t="s">
        <v>573</v>
      </c>
      <c r="L14" s="53" t="s">
        <v>577</v>
      </c>
      <c r="M14" s="53" t="s">
        <v>580</v>
      </c>
      <c r="N14" s="54" t="s">
        <v>582</v>
      </c>
      <c r="O14" s="52" t="s">
        <v>585</v>
      </c>
      <c r="P14" s="52" t="s">
        <v>587</v>
      </c>
      <c r="Q14" s="19"/>
      <c r="R14" s="55" t="s">
        <v>590</v>
      </c>
      <c r="S14" s="19"/>
      <c r="T14" s="44" t="s">
        <v>595</v>
      </c>
      <c r="U14" s="44" t="s">
        <v>597</v>
      </c>
      <c r="V14" s="45" t="s">
        <v>598</v>
      </c>
      <c r="W14" s="19"/>
      <c r="X14" s="30" t="s">
        <v>184</v>
      </c>
    </row>
    <row r="15" ht="171.0" customHeight="1">
      <c r="A15" s="19"/>
      <c r="B15" s="19"/>
      <c r="C15" s="51" t="s">
        <v>600</v>
      </c>
      <c r="D15" s="55" t="s">
        <v>604</v>
      </c>
      <c r="E15" s="51" t="s">
        <v>605</v>
      </c>
      <c r="F15" s="19"/>
      <c r="G15" s="19"/>
      <c r="H15" s="52" t="s">
        <v>77</v>
      </c>
      <c r="I15" s="53" t="s">
        <v>609</v>
      </c>
      <c r="J15" s="53" t="s">
        <v>611</v>
      </c>
      <c r="K15" s="53" t="s">
        <v>613</v>
      </c>
      <c r="L15" s="53" t="s">
        <v>615</v>
      </c>
      <c r="M15" s="53" t="s">
        <v>617</v>
      </c>
      <c r="N15" s="54" t="s">
        <v>619</v>
      </c>
      <c r="O15" s="52" t="s">
        <v>621</v>
      </c>
      <c r="P15" s="52" t="s">
        <v>623</v>
      </c>
      <c r="Q15" s="19"/>
      <c r="R15" s="55" t="s">
        <v>626</v>
      </c>
      <c r="S15" s="19"/>
      <c r="T15" s="44" t="s">
        <v>630</v>
      </c>
      <c r="U15" s="44" t="s">
        <v>637</v>
      </c>
      <c r="V15" s="45" t="s">
        <v>641</v>
      </c>
      <c r="W15" s="19"/>
      <c r="X15" s="30" t="s">
        <v>184</v>
      </c>
    </row>
    <row r="16" ht="202.5" customHeight="1">
      <c r="A16" s="19"/>
      <c r="B16" s="19"/>
      <c r="C16" s="51" t="s">
        <v>647</v>
      </c>
      <c r="D16" s="55" t="s">
        <v>650</v>
      </c>
      <c r="E16" s="51" t="s">
        <v>653</v>
      </c>
      <c r="F16" s="19"/>
      <c r="G16" s="19"/>
      <c r="H16" s="52" t="s">
        <v>22</v>
      </c>
      <c r="I16" s="53" t="s">
        <v>657</v>
      </c>
      <c r="J16" s="53" t="s">
        <v>659</v>
      </c>
      <c r="K16" s="53" t="s">
        <v>661</v>
      </c>
      <c r="L16" s="53" t="s">
        <v>665</v>
      </c>
      <c r="M16" s="53" t="s">
        <v>666</v>
      </c>
      <c r="N16" s="54" t="s">
        <v>668</v>
      </c>
      <c r="O16" s="52" t="s">
        <v>671</v>
      </c>
      <c r="P16" s="52" t="s">
        <v>672</v>
      </c>
      <c r="Q16" s="19"/>
      <c r="R16" s="55" t="s">
        <v>675</v>
      </c>
      <c r="S16" s="19"/>
      <c r="T16" s="44" t="s">
        <v>678</v>
      </c>
      <c r="U16" s="44" t="s">
        <v>684</v>
      </c>
      <c r="V16" s="45" t="s">
        <v>686</v>
      </c>
      <c r="W16" s="19"/>
      <c r="X16" s="30" t="s">
        <v>184</v>
      </c>
    </row>
    <row r="17" ht="171.0" customHeight="1">
      <c r="A17" s="22"/>
      <c r="B17" s="22"/>
      <c r="C17" s="51" t="s">
        <v>694</v>
      </c>
      <c r="D17" s="55" t="s">
        <v>697</v>
      </c>
      <c r="E17" s="51" t="s">
        <v>698</v>
      </c>
      <c r="F17" s="19"/>
      <c r="G17" s="19"/>
      <c r="H17" s="52" t="s">
        <v>22</v>
      </c>
      <c r="I17" s="53" t="s">
        <v>703</v>
      </c>
      <c r="J17" s="53" t="s">
        <v>705</v>
      </c>
      <c r="K17" s="53" t="s">
        <v>708</v>
      </c>
      <c r="L17" s="53" t="s">
        <v>711</v>
      </c>
      <c r="M17" s="53" t="s">
        <v>712</v>
      </c>
      <c r="N17" s="54" t="s">
        <v>713</v>
      </c>
      <c r="O17" s="52" t="s">
        <v>716</v>
      </c>
      <c r="P17" s="52" t="s">
        <v>719</v>
      </c>
      <c r="Q17" s="19"/>
      <c r="R17" s="55" t="s">
        <v>724</v>
      </c>
      <c r="S17" s="19"/>
      <c r="T17" s="44" t="s">
        <v>725</v>
      </c>
      <c r="U17" s="44" t="s">
        <v>734</v>
      </c>
      <c r="V17" s="45" t="s">
        <v>737</v>
      </c>
      <c r="W17" s="22"/>
      <c r="X17" s="30" t="s">
        <v>184</v>
      </c>
    </row>
    <row r="18" ht="211.5" customHeight="1">
      <c r="A18" s="27" t="s">
        <v>741</v>
      </c>
      <c r="B18" s="50" t="s">
        <v>745</v>
      </c>
      <c r="C18" s="51" t="s">
        <v>749</v>
      </c>
      <c r="D18" s="55" t="s">
        <v>750</v>
      </c>
      <c r="E18" s="51" t="s">
        <v>752</v>
      </c>
      <c r="F18" s="36" t="s">
        <v>753</v>
      </c>
      <c r="G18" s="36" t="s">
        <v>757</v>
      </c>
      <c r="H18" s="52" t="s">
        <v>22</v>
      </c>
      <c r="I18" s="53" t="s">
        <v>761</v>
      </c>
      <c r="J18" s="53" t="s">
        <v>763</v>
      </c>
      <c r="K18" s="53" t="s">
        <v>765</v>
      </c>
      <c r="L18" s="53" t="s">
        <v>768</v>
      </c>
      <c r="M18" s="53" t="s">
        <v>770</v>
      </c>
      <c r="N18" s="54" t="s">
        <v>771</v>
      </c>
      <c r="O18" s="52" t="s">
        <v>774</v>
      </c>
      <c r="P18" s="52" t="s">
        <v>775</v>
      </c>
      <c r="Q18" s="33" t="s">
        <v>776</v>
      </c>
      <c r="R18" s="55" t="s">
        <v>777</v>
      </c>
      <c r="S18" s="33" t="s">
        <v>781</v>
      </c>
      <c r="T18" s="44" t="s">
        <v>786</v>
      </c>
      <c r="U18" s="44" t="s">
        <v>792</v>
      </c>
      <c r="V18" s="45" t="s">
        <v>794</v>
      </c>
      <c r="W18" s="48" t="s">
        <v>795</v>
      </c>
      <c r="X18" s="30" t="s">
        <v>184</v>
      </c>
    </row>
    <row r="19" ht="189.0" customHeight="1">
      <c r="A19" s="19"/>
      <c r="B19" s="19"/>
      <c r="C19" s="51" t="s">
        <v>808</v>
      </c>
      <c r="D19" s="55" t="s">
        <v>810</v>
      </c>
      <c r="E19" s="51" t="s">
        <v>812</v>
      </c>
      <c r="F19" s="19"/>
      <c r="G19" s="19"/>
      <c r="H19" s="52" t="s">
        <v>22</v>
      </c>
      <c r="I19" s="53" t="s">
        <v>817</v>
      </c>
      <c r="J19" s="53" t="s">
        <v>819</v>
      </c>
      <c r="K19" s="53" t="s">
        <v>820</v>
      </c>
      <c r="L19" s="53" t="s">
        <v>822</v>
      </c>
      <c r="M19" s="53" t="s">
        <v>824</v>
      </c>
      <c r="N19" s="54" t="s">
        <v>825</v>
      </c>
      <c r="O19" s="52" t="s">
        <v>828</v>
      </c>
      <c r="P19" s="52" t="s">
        <v>829</v>
      </c>
      <c r="Q19" s="19"/>
      <c r="R19" s="55" t="s">
        <v>831</v>
      </c>
      <c r="S19" s="19"/>
      <c r="T19" s="44" t="s">
        <v>833</v>
      </c>
      <c r="U19" s="44" t="s">
        <v>835</v>
      </c>
      <c r="V19" s="45" t="s">
        <v>837</v>
      </c>
      <c r="W19" s="19"/>
      <c r="X19" s="30" t="s">
        <v>184</v>
      </c>
    </row>
    <row r="20" ht="201.0" customHeight="1">
      <c r="A20" s="19"/>
      <c r="B20" s="19"/>
      <c r="C20" s="51" t="s">
        <v>840</v>
      </c>
      <c r="D20" s="55" t="s">
        <v>842</v>
      </c>
      <c r="E20" s="51" t="s">
        <v>843</v>
      </c>
      <c r="F20" s="19"/>
      <c r="G20" s="19"/>
      <c r="H20" s="52" t="s">
        <v>77</v>
      </c>
      <c r="I20" s="53" t="s">
        <v>846</v>
      </c>
      <c r="J20" s="53" t="s">
        <v>848</v>
      </c>
      <c r="K20" s="53" t="s">
        <v>850</v>
      </c>
      <c r="L20" s="53" t="s">
        <v>852</v>
      </c>
      <c r="M20" s="53" t="s">
        <v>854</v>
      </c>
      <c r="N20" s="54" t="s">
        <v>856</v>
      </c>
      <c r="O20" s="52" t="s">
        <v>857</v>
      </c>
      <c r="P20" s="52" t="s">
        <v>859</v>
      </c>
      <c r="Q20" s="19"/>
      <c r="R20" s="55" t="s">
        <v>862</v>
      </c>
      <c r="S20" s="19"/>
      <c r="T20" s="44" t="s">
        <v>865</v>
      </c>
      <c r="U20" s="44" t="s">
        <v>868</v>
      </c>
      <c r="V20" s="45" t="s">
        <v>870</v>
      </c>
      <c r="W20" s="19"/>
      <c r="X20" s="30" t="s">
        <v>184</v>
      </c>
    </row>
    <row r="21" ht="195.0" customHeight="1">
      <c r="A21" s="22"/>
      <c r="B21" s="22"/>
      <c r="C21" s="51" t="s">
        <v>873</v>
      </c>
      <c r="D21" s="55" t="s">
        <v>875</v>
      </c>
      <c r="E21" s="51" t="s">
        <v>877</v>
      </c>
      <c r="F21" s="19"/>
      <c r="G21" s="19"/>
      <c r="H21" s="52" t="s">
        <v>22</v>
      </c>
      <c r="I21" s="53" t="s">
        <v>880</v>
      </c>
      <c r="J21" s="53" t="s">
        <v>881</v>
      </c>
      <c r="K21" s="53" t="s">
        <v>883</v>
      </c>
      <c r="L21" s="53" t="s">
        <v>885</v>
      </c>
      <c r="M21" s="53" t="s">
        <v>886</v>
      </c>
      <c r="N21" s="54" t="s">
        <v>888</v>
      </c>
      <c r="O21" s="52" t="s">
        <v>891</v>
      </c>
      <c r="P21" s="52" t="s">
        <v>892</v>
      </c>
      <c r="Q21" s="19"/>
      <c r="R21" s="55" t="s">
        <v>897</v>
      </c>
      <c r="S21" s="19"/>
      <c r="T21" s="44" t="s">
        <v>898</v>
      </c>
      <c r="U21" s="44" t="s">
        <v>904</v>
      </c>
      <c r="V21" s="45" t="s">
        <v>905</v>
      </c>
      <c r="W21" s="19"/>
      <c r="X21" s="30" t="s">
        <v>184</v>
      </c>
    </row>
    <row r="22" ht="216.0" customHeight="1">
      <c r="A22" s="27" t="s">
        <v>907</v>
      </c>
      <c r="B22" s="50" t="s">
        <v>912</v>
      </c>
      <c r="C22" s="51" t="s">
        <v>920</v>
      </c>
      <c r="D22" s="55" t="s">
        <v>921</v>
      </c>
      <c r="E22" s="51" t="s">
        <v>923</v>
      </c>
      <c r="F22" s="36" t="s">
        <v>925</v>
      </c>
      <c r="G22" s="36" t="s">
        <v>928</v>
      </c>
      <c r="H22" s="52" t="s">
        <v>77</v>
      </c>
      <c r="I22" s="53" t="s">
        <v>932</v>
      </c>
      <c r="J22" s="53" t="s">
        <v>933</v>
      </c>
      <c r="K22" s="53" t="s">
        <v>935</v>
      </c>
      <c r="L22" s="53" t="s">
        <v>936</v>
      </c>
      <c r="M22" s="53" t="s">
        <v>938</v>
      </c>
      <c r="N22" s="54" t="s">
        <v>940</v>
      </c>
      <c r="O22" s="52" t="s">
        <v>942</v>
      </c>
      <c r="P22" s="52" t="s">
        <v>945</v>
      </c>
      <c r="Q22" s="33" t="s">
        <v>946</v>
      </c>
      <c r="R22" s="55" t="s">
        <v>950</v>
      </c>
      <c r="S22" s="33" t="s">
        <v>954</v>
      </c>
      <c r="T22" s="44" t="s">
        <v>959</v>
      </c>
      <c r="U22" s="44" t="s">
        <v>965</v>
      </c>
      <c r="V22" s="45" t="s">
        <v>966</v>
      </c>
      <c r="W22" s="19"/>
      <c r="X22" s="30" t="s">
        <v>184</v>
      </c>
    </row>
    <row r="23" ht="213.0" customHeight="1">
      <c r="A23" s="19"/>
      <c r="B23" s="19"/>
      <c r="C23" s="51" t="s">
        <v>968</v>
      </c>
      <c r="D23" s="55" t="s">
        <v>969</v>
      </c>
      <c r="E23" s="51" t="s">
        <v>971</v>
      </c>
      <c r="F23" s="19"/>
      <c r="G23" s="19"/>
      <c r="H23" s="52" t="s">
        <v>22</v>
      </c>
      <c r="I23" s="53" t="s">
        <v>972</v>
      </c>
      <c r="J23" s="53" t="s">
        <v>975</v>
      </c>
      <c r="K23" s="53" t="s">
        <v>976</v>
      </c>
      <c r="L23" s="53" t="s">
        <v>978</v>
      </c>
      <c r="M23" s="53" t="s">
        <v>980</v>
      </c>
      <c r="N23" s="54" t="s">
        <v>982</v>
      </c>
      <c r="O23" s="52" t="s">
        <v>984</v>
      </c>
      <c r="P23" s="52" t="s">
        <v>985</v>
      </c>
      <c r="Q23" s="19"/>
      <c r="R23" s="55" t="s">
        <v>986</v>
      </c>
      <c r="S23" s="19"/>
      <c r="T23" s="44" t="s">
        <v>987</v>
      </c>
      <c r="U23" s="44" t="s">
        <v>989</v>
      </c>
      <c r="V23" s="45" t="s">
        <v>990</v>
      </c>
      <c r="W23" s="19"/>
      <c r="X23" s="30" t="s">
        <v>184</v>
      </c>
    </row>
    <row r="24" ht="190.5" customHeight="1">
      <c r="A24" s="22"/>
      <c r="B24" s="22"/>
      <c r="C24" s="51" t="s">
        <v>995</v>
      </c>
      <c r="D24" s="55" t="s">
        <v>997</v>
      </c>
      <c r="E24" s="51" t="s">
        <v>999</v>
      </c>
      <c r="F24" s="19"/>
      <c r="G24" s="19"/>
      <c r="H24" s="52" t="s">
        <v>77</v>
      </c>
      <c r="I24" s="53" t="s">
        <v>1002</v>
      </c>
      <c r="J24" s="53" t="s">
        <v>1004</v>
      </c>
      <c r="K24" s="53" t="s">
        <v>1005</v>
      </c>
      <c r="L24" s="53" t="s">
        <v>1006</v>
      </c>
      <c r="M24" s="53" t="s">
        <v>1007</v>
      </c>
      <c r="N24" s="54" t="s">
        <v>1008</v>
      </c>
      <c r="O24" s="52" t="s">
        <v>1010</v>
      </c>
      <c r="P24" s="52" t="s">
        <v>1011</v>
      </c>
      <c r="Q24" s="19"/>
      <c r="R24" s="55" t="s">
        <v>1013</v>
      </c>
      <c r="S24" s="19"/>
      <c r="T24" s="44" t="s">
        <v>1015</v>
      </c>
      <c r="U24" s="44" t="s">
        <v>1019</v>
      </c>
      <c r="V24" s="45" t="s">
        <v>1020</v>
      </c>
      <c r="W24" s="19"/>
      <c r="X24" s="30" t="s">
        <v>184</v>
      </c>
    </row>
    <row r="25" ht="178.5" customHeight="1">
      <c r="A25" s="27" t="s">
        <v>1021</v>
      </c>
      <c r="B25" s="50" t="s">
        <v>1024</v>
      </c>
      <c r="C25" s="51" t="s">
        <v>1026</v>
      </c>
      <c r="D25" s="55" t="s">
        <v>1028</v>
      </c>
      <c r="E25" s="51" t="s">
        <v>1030</v>
      </c>
      <c r="F25" s="36" t="s">
        <v>1032</v>
      </c>
      <c r="G25" s="36" t="s">
        <v>1036</v>
      </c>
      <c r="H25" s="52" t="s">
        <v>22</v>
      </c>
      <c r="I25" s="53" t="s">
        <v>1039</v>
      </c>
      <c r="J25" s="53" t="s">
        <v>1041</v>
      </c>
      <c r="K25" s="53" t="s">
        <v>1042</v>
      </c>
      <c r="L25" s="53" t="s">
        <v>1043</v>
      </c>
      <c r="M25" s="53" t="s">
        <v>1045</v>
      </c>
      <c r="N25" s="54" t="s">
        <v>1047</v>
      </c>
      <c r="O25" s="52" t="s">
        <v>1048</v>
      </c>
      <c r="P25" s="52" t="s">
        <v>1049</v>
      </c>
      <c r="Q25" s="33" t="s">
        <v>1050</v>
      </c>
      <c r="R25" s="55" t="s">
        <v>1051</v>
      </c>
      <c r="S25" s="33" t="s">
        <v>1052</v>
      </c>
      <c r="T25" s="44" t="s">
        <v>1054</v>
      </c>
      <c r="U25" s="44" t="s">
        <v>1058</v>
      </c>
      <c r="V25" s="45" t="s">
        <v>1060</v>
      </c>
      <c r="W25" s="19"/>
      <c r="X25" s="30" t="s">
        <v>184</v>
      </c>
    </row>
    <row r="26" ht="187.5" customHeight="1">
      <c r="A26" s="19"/>
      <c r="B26" s="19"/>
      <c r="C26" s="51" t="s">
        <v>1062</v>
      </c>
      <c r="D26" s="55" t="s">
        <v>1063</v>
      </c>
      <c r="E26" s="51" t="s">
        <v>1064</v>
      </c>
      <c r="F26" s="19"/>
      <c r="G26" s="19"/>
      <c r="H26" s="52" t="s">
        <v>22</v>
      </c>
      <c r="I26" s="53" t="s">
        <v>1065</v>
      </c>
      <c r="J26" s="53" t="s">
        <v>1066</v>
      </c>
      <c r="K26" s="53" t="s">
        <v>1067</v>
      </c>
      <c r="L26" s="53" t="s">
        <v>1068</v>
      </c>
      <c r="M26" s="53" t="s">
        <v>1069</v>
      </c>
      <c r="N26" s="54" t="s">
        <v>1070</v>
      </c>
      <c r="O26" s="52" t="s">
        <v>1071</v>
      </c>
      <c r="P26" s="52" t="s">
        <v>1073</v>
      </c>
      <c r="Q26" s="19"/>
      <c r="R26" s="55" t="s">
        <v>1076</v>
      </c>
      <c r="S26" s="19"/>
      <c r="T26" s="44" t="s">
        <v>1080</v>
      </c>
      <c r="U26" s="44" t="s">
        <v>1084</v>
      </c>
      <c r="V26" s="45" t="s">
        <v>1085</v>
      </c>
      <c r="W26" s="19"/>
      <c r="X26" s="30" t="s">
        <v>184</v>
      </c>
    </row>
    <row r="27" ht="162.0" customHeight="1">
      <c r="A27" s="19"/>
      <c r="B27" s="19"/>
      <c r="C27" s="51" t="s">
        <v>1087</v>
      </c>
      <c r="D27" s="55" t="s">
        <v>1088</v>
      </c>
      <c r="E27" s="51" t="s">
        <v>1090</v>
      </c>
      <c r="F27" s="19"/>
      <c r="G27" s="19"/>
      <c r="H27" s="52" t="s">
        <v>77</v>
      </c>
      <c r="I27" s="53" t="s">
        <v>1091</v>
      </c>
      <c r="J27" s="53" t="s">
        <v>1092</v>
      </c>
      <c r="K27" s="53" t="s">
        <v>1094</v>
      </c>
      <c r="L27" s="53" t="s">
        <v>1095</v>
      </c>
      <c r="M27" s="53" t="s">
        <v>1097</v>
      </c>
      <c r="N27" s="54" t="s">
        <v>1098</v>
      </c>
      <c r="O27" s="52" t="s">
        <v>1100</v>
      </c>
      <c r="P27" s="52" t="s">
        <v>1101</v>
      </c>
      <c r="Q27" s="19"/>
      <c r="R27" s="55" t="s">
        <v>1102</v>
      </c>
      <c r="S27" s="19"/>
      <c r="T27" s="44" t="s">
        <v>1104</v>
      </c>
      <c r="U27" s="44" t="s">
        <v>1107</v>
      </c>
      <c r="V27" s="45" t="s">
        <v>1108</v>
      </c>
      <c r="W27" s="19"/>
      <c r="X27" s="30" t="s">
        <v>184</v>
      </c>
    </row>
    <row r="28" ht="186.0" customHeight="1">
      <c r="A28" s="19"/>
      <c r="B28" s="19"/>
      <c r="C28" s="51" t="s">
        <v>1111</v>
      </c>
      <c r="D28" s="55" t="s">
        <v>1113</v>
      </c>
      <c r="E28" s="51" t="s">
        <v>1115</v>
      </c>
      <c r="F28" s="19"/>
      <c r="G28" s="19"/>
      <c r="H28" s="52" t="s">
        <v>53</v>
      </c>
      <c r="I28" s="53" t="s">
        <v>1118</v>
      </c>
      <c r="J28" s="53" t="s">
        <v>1120</v>
      </c>
      <c r="K28" s="53" t="s">
        <v>1122</v>
      </c>
      <c r="L28" s="53" t="s">
        <v>1123</v>
      </c>
      <c r="M28" s="53" t="s">
        <v>1124</v>
      </c>
      <c r="N28" s="54" t="s">
        <v>1125</v>
      </c>
      <c r="O28" s="52" t="s">
        <v>1127</v>
      </c>
      <c r="P28" s="52" t="s">
        <v>1128</v>
      </c>
      <c r="Q28" s="19"/>
      <c r="R28" s="55" t="s">
        <v>1130</v>
      </c>
      <c r="S28" s="19"/>
      <c r="T28" s="44" t="s">
        <v>1133</v>
      </c>
      <c r="U28" s="44" t="s">
        <v>1137</v>
      </c>
      <c r="V28" s="45" t="s">
        <v>1138</v>
      </c>
      <c r="W28" s="19"/>
      <c r="X28" s="30" t="s">
        <v>184</v>
      </c>
    </row>
    <row r="29" ht="162.0" customHeight="1">
      <c r="A29" s="19"/>
      <c r="B29" s="19"/>
      <c r="C29" s="51" t="s">
        <v>1141</v>
      </c>
      <c r="D29" s="55" t="s">
        <v>1143</v>
      </c>
      <c r="E29" s="51" t="s">
        <v>1145</v>
      </c>
      <c r="F29" s="19"/>
      <c r="G29" s="19"/>
      <c r="H29" s="52" t="s">
        <v>22</v>
      </c>
      <c r="I29" s="53" t="s">
        <v>1148</v>
      </c>
      <c r="J29" s="53" t="s">
        <v>1150</v>
      </c>
      <c r="K29" s="53" t="s">
        <v>1152</v>
      </c>
      <c r="L29" s="53" t="s">
        <v>1153</v>
      </c>
      <c r="M29" s="53" t="s">
        <v>1154</v>
      </c>
      <c r="N29" s="54" t="s">
        <v>1156</v>
      </c>
      <c r="O29" s="52" t="s">
        <v>1157</v>
      </c>
      <c r="P29" s="52" t="s">
        <v>1159</v>
      </c>
      <c r="Q29" s="19"/>
      <c r="R29" s="55" t="s">
        <v>1161</v>
      </c>
      <c r="S29" s="19"/>
      <c r="T29" s="44" t="s">
        <v>1163</v>
      </c>
      <c r="U29" s="44" t="s">
        <v>1166</v>
      </c>
      <c r="V29" s="45" t="s">
        <v>1167</v>
      </c>
      <c r="W29" s="19"/>
      <c r="X29" s="30" t="s">
        <v>184</v>
      </c>
    </row>
    <row r="30" ht="184.5" customHeight="1">
      <c r="A30" s="22"/>
      <c r="B30" s="22"/>
      <c r="C30" s="51" t="s">
        <v>1173</v>
      </c>
      <c r="D30" s="55" t="s">
        <v>1175</v>
      </c>
      <c r="E30" s="51" t="s">
        <v>1177</v>
      </c>
      <c r="F30" s="19"/>
      <c r="G30" s="19"/>
      <c r="H30" s="52" t="s">
        <v>77</v>
      </c>
      <c r="I30" s="53" t="s">
        <v>1179</v>
      </c>
      <c r="J30" s="53" t="s">
        <v>1180</v>
      </c>
      <c r="K30" s="53" t="s">
        <v>1181</v>
      </c>
      <c r="L30" s="53" t="s">
        <v>1182</v>
      </c>
      <c r="M30" s="53" t="s">
        <v>1183</v>
      </c>
      <c r="N30" s="54" t="s">
        <v>1184</v>
      </c>
      <c r="O30" s="52" t="s">
        <v>1186</v>
      </c>
      <c r="P30" s="52" t="s">
        <v>1187</v>
      </c>
      <c r="Q30" s="19"/>
      <c r="R30" s="55" t="s">
        <v>1190</v>
      </c>
      <c r="S30" s="19"/>
      <c r="T30" s="44" t="s">
        <v>1191</v>
      </c>
      <c r="U30" s="44" t="s">
        <v>1195</v>
      </c>
      <c r="V30" s="45" t="s">
        <v>1196</v>
      </c>
      <c r="W30" s="19"/>
      <c r="X30" s="30" t="s">
        <v>184</v>
      </c>
    </row>
    <row r="31" ht="229.5" customHeight="1">
      <c r="A31" s="79" t="s">
        <v>347</v>
      </c>
      <c r="B31" s="80" t="s">
        <v>1206</v>
      </c>
      <c r="C31" s="52" t="s">
        <v>1214</v>
      </c>
      <c r="D31" s="59" t="s">
        <v>1218</v>
      </c>
      <c r="E31" s="59" t="s">
        <v>1220</v>
      </c>
      <c r="F31" s="77" t="s">
        <v>1223</v>
      </c>
      <c r="G31" s="77" t="s">
        <v>1230</v>
      </c>
      <c r="H31" s="52" t="s">
        <v>53</v>
      </c>
      <c r="I31" s="53" t="s">
        <v>1235</v>
      </c>
      <c r="J31" s="53" t="s">
        <v>1238</v>
      </c>
      <c r="K31" s="53" t="s">
        <v>1239</v>
      </c>
      <c r="L31" s="53" t="s">
        <v>1240</v>
      </c>
      <c r="M31" s="53" t="s">
        <v>1243</v>
      </c>
      <c r="N31" s="54" t="s">
        <v>1246</v>
      </c>
      <c r="O31" s="52" t="s">
        <v>1248</v>
      </c>
      <c r="P31" s="52" t="s">
        <v>1249</v>
      </c>
      <c r="Q31" s="33" t="s">
        <v>1251</v>
      </c>
      <c r="R31" s="59" t="s">
        <v>1255</v>
      </c>
      <c r="S31" s="33" t="s">
        <v>1257</v>
      </c>
      <c r="T31" s="44" t="s">
        <v>1268</v>
      </c>
      <c r="U31" s="44" t="s">
        <v>1275</v>
      </c>
      <c r="V31" s="45" t="s">
        <v>1278</v>
      </c>
      <c r="W31" s="19"/>
      <c r="X31" s="34" t="s">
        <v>869</v>
      </c>
    </row>
    <row r="32" ht="180.0" customHeight="1">
      <c r="A32" s="19"/>
      <c r="B32" s="19"/>
      <c r="C32" s="52" t="s">
        <v>1284</v>
      </c>
      <c r="D32" s="52" t="s">
        <v>1286</v>
      </c>
      <c r="E32" s="59" t="s">
        <v>1289</v>
      </c>
      <c r="F32" s="19"/>
      <c r="G32" s="19"/>
      <c r="H32" s="52" t="s">
        <v>53</v>
      </c>
      <c r="I32" s="53" t="s">
        <v>1296</v>
      </c>
      <c r="J32" s="53" t="s">
        <v>1297</v>
      </c>
      <c r="K32" s="53" t="s">
        <v>1300</v>
      </c>
      <c r="L32" s="53" t="s">
        <v>1303</v>
      </c>
      <c r="M32" s="53" t="s">
        <v>1306</v>
      </c>
      <c r="N32" s="54" t="s">
        <v>1308</v>
      </c>
      <c r="O32" s="52" t="s">
        <v>1309</v>
      </c>
      <c r="P32" s="52" t="s">
        <v>1312</v>
      </c>
      <c r="Q32" s="19"/>
      <c r="R32" s="59" t="s">
        <v>1316</v>
      </c>
      <c r="S32" s="19"/>
      <c r="T32" s="44" t="s">
        <v>1320</v>
      </c>
      <c r="U32" s="44" t="s">
        <v>1326</v>
      </c>
      <c r="V32" s="45" t="s">
        <v>1328</v>
      </c>
      <c r="W32" s="19"/>
      <c r="X32" s="34" t="s">
        <v>869</v>
      </c>
    </row>
    <row r="33" ht="219.0" customHeight="1">
      <c r="A33" s="19"/>
      <c r="B33" s="19"/>
      <c r="C33" s="52" t="s">
        <v>1333</v>
      </c>
      <c r="D33" s="52" t="s">
        <v>1335</v>
      </c>
      <c r="E33" s="59" t="s">
        <v>1337</v>
      </c>
      <c r="F33" s="19"/>
      <c r="G33" s="19"/>
      <c r="H33" s="52" t="s">
        <v>22</v>
      </c>
      <c r="I33" s="53" t="s">
        <v>1342</v>
      </c>
      <c r="J33" s="53" t="s">
        <v>1344</v>
      </c>
      <c r="K33" s="53" t="s">
        <v>1347</v>
      </c>
      <c r="L33" s="53" t="s">
        <v>1349</v>
      </c>
      <c r="M33" s="53" t="s">
        <v>1351</v>
      </c>
      <c r="N33" s="54" t="s">
        <v>1354</v>
      </c>
      <c r="O33" s="52" t="s">
        <v>1357</v>
      </c>
      <c r="P33" s="52" t="s">
        <v>1359</v>
      </c>
      <c r="Q33" s="19"/>
      <c r="R33" s="59" t="s">
        <v>1363</v>
      </c>
      <c r="S33" s="19"/>
      <c r="T33" s="44" t="s">
        <v>1368</v>
      </c>
      <c r="U33" s="44" t="s">
        <v>1376</v>
      </c>
      <c r="V33" s="45" t="s">
        <v>1377</v>
      </c>
      <c r="W33" s="19"/>
      <c r="X33" s="34" t="s">
        <v>869</v>
      </c>
    </row>
    <row r="34" ht="190.5" customHeight="1">
      <c r="A34" s="22"/>
      <c r="B34" s="22"/>
      <c r="C34" s="52" t="s">
        <v>1382</v>
      </c>
      <c r="D34" s="52" t="s">
        <v>1383</v>
      </c>
      <c r="E34" s="59" t="s">
        <v>1385</v>
      </c>
      <c r="F34" s="22"/>
      <c r="G34" s="22"/>
      <c r="H34" s="52" t="s">
        <v>53</v>
      </c>
      <c r="I34" s="53" t="s">
        <v>1391</v>
      </c>
      <c r="J34" s="53" t="s">
        <v>1393</v>
      </c>
      <c r="K34" s="53" t="s">
        <v>1395</v>
      </c>
      <c r="L34" s="53" t="s">
        <v>1398</v>
      </c>
      <c r="M34" s="53" t="s">
        <v>1400</v>
      </c>
      <c r="N34" s="54" t="s">
        <v>1403</v>
      </c>
      <c r="O34" s="52" t="s">
        <v>1405</v>
      </c>
      <c r="P34" s="52" t="s">
        <v>1408</v>
      </c>
      <c r="Q34" s="22"/>
      <c r="R34" s="59" t="s">
        <v>1412</v>
      </c>
      <c r="S34" s="22"/>
      <c r="T34" s="44" t="s">
        <v>1419</v>
      </c>
      <c r="U34" s="44" t="s">
        <v>1426</v>
      </c>
      <c r="V34" s="45" t="s">
        <v>1428</v>
      </c>
      <c r="W34" s="22"/>
      <c r="X34" s="34" t="s">
        <v>869</v>
      </c>
    </row>
    <row r="35" ht="15.75" customHeight="1">
      <c r="V35" s="85"/>
      <c r="X35" s="85"/>
    </row>
    <row r="36" ht="15.75" customHeight="1">
      <c r="B36" s="84" t="s">
        <v>1429</v>
      </c>
      <c r="C36" s="86"/>
      <c r="D36" s="87" t="s">
        <v>1431</v>
      </c>
      <c r="V36" s="85"/>
      <c r="X36" s="85"/>
    </row>
    <row r="37" ht="15.75" customHeight="1">
      <c r="C37" s="88"/>
      <c r="D37" s="87" t="s">
        <v>1432</v>
      </c>
      <c r="V37" s="85"/>
      <c r="X37" s="85"/>
    </row>
    <row r="38" ht="15.75" customHeight="1">
      <c r="C38" s="89"/>
      <c r="D38" s="87" t="s">
        <v>1433</v>
      </c>
      <c r="V38" s="85"/>
      <c r="X38" s="85"/>
    </row>
    <row r="39" ht="15.75" customHeight="1">
      <c r="C39" s="90"/>
      <c r="D39" s="87" t="s">
        <v>1434</v>
      </c>
      <c r="V39" s="85"/>
      <c r="X39" s="85"/>
    </row>
    <row r="40" ht="15.75" customHeight="1">
      <c r="C40" s="91"/>
      <c r="D40" s="87" t="s">
        <v>1435</v>
      </c>
      <c r="V40" s="85"/>
      <c r="X40" s="85"/>
    </row>
    <row r="41" ht="15.75" customHeight="1">
      <c r="C41" s="92"/>
      <c r="D41" s="87" t="s">
        <v>74</v>
      </c>
      <c r="V41" s="85"/>
      <c r="X41" s="85"/>
    </row>
    <row r="42" ht="15.75" customHeight="1">
      <c r="C42" s="93"/>
      <c r="D42" s="87" t="s">
        <v>1436</v>
      </c>
      <c r="V42" s="85"/>
      <c r="X42" s="85"/>
    </row>
    <row r="43" ht="15.75" customHeight="1">
      <c r="D43" s="94" t="s">
        <v>1437</v>
      </c>
      <c r="V43" s="85"/>
      <c r="X43" s="85"/>
    </row>
    <row r="44" ht="15.75" customHeight="1">
      <c r="V44" s="85"/>
      <c r="X44" s="85"/>
    </row>
    <row r="45" ht="15.75" customHeight="1">
      <c r="V45" s="85"/>
      <c r="X45" s="85"/>
    </row>
    <row r="46" ht="15.75" customHeight="1">
      <c r="V46" s="85"/>
      <c r="X46" s="85"/>
    </row>
    <row r="47" ht="15.75" customHeight="1">
      <c r="V47" s="85"/>
      <c r="X47" s="85"/>
    </row>
    <row r="48" ht="15.75" customHeight="1">
      <c r="V48" s="85"/>
      <c r="X48" s="85"/>
    </row>
    <row r="49" ht="15.75" customHeight="1">
      <c r="V49" s="85"/>
      <c r="X49" s="85"/>
    </row>
    <row r="50" ht="15.75" customHeight="1">
      <c r="V50" s="85"/>
      <c r="X50" s="85"/>
    </row>
    <row r="51" ht="15.75" customHeight="1">
      <c r="V51" s="85"/>
      <c r="X51" s="85"/>
    </row>
    <row r="52" ht="15.75" customHeight="1">
      <c r="V52" s="85"/>
      <c r="X52" s="85"/>
    </row>
    <row r="53" ht="15.75" customHeight="1">
      <c r="V53" s="85"/>
      <c r="X53" s="85"/>
    </row>
    <row r="54" ht="15.75" customHeight="1">
      <c r="V54" s="85"/>
      <c r="X54" s="85"/>
    </row>
    <row r="55" ht="15.75" customHeight="1">
      <c r="V55" s="85"/>
      <c r="X55" s="85"/>
    </row>
    <row r="56" ht="15.75" customHeight="1">
      <c r="V56" s="85"/>
      <c r="X56" s="85"/>
    </row>
    <row r="57" ht="15.75" customHeight="1">
      <c r="V57" s="85"/>
      <c r="X57" s="85"/>
    </row>
    <row r="58" ht="15.75" customHeight="1">
      <c r="V58" s="85"/>
      <c r="X58" s="85"/>
    </row>
    <row r="59" ht="15.75" customHeight="1">
      <c r="V59" s="85"/>
      <c r="X59" s="85"/>
    </row>
    <row r="60" ht="15.75" customHeight="1">
      <c r="V60" s="85"/>
      <c r="X60" s="85"/>
    </row>
    <row r="61" ht="15.75" customHeight="1">
      <c r="V61" s="85"/>
      <c r="X61" s="85"/>
    </row>
    <row r="62" ht="15.75" customHeight="1">
      <c r="V62" s="85"/>
      <c r="X62" s="85"/>
    </row>
    <row r="63" ht="15.75" customHeight="1">
      <c r="V63" s="85"/>
      <c r="X63" s="85"/>
    </row>
    <row r="64" ht="15.75" customHeight="1">
      <c r="V64" s="85"/>
      <c r="X64" s="85"/>
    </row>
    <row r="65" ht="15.75" customHeight="1">
      <c r="V65" s="85"/>
      <c r="X65" s="85"/>
    </row>
    <row r="66" ht="15.75" customHeight="1">
      <c r="V66" s="85"/>
      <c r="X66" s="85"/>
    </row>
    <row r="67" ht="15.75" customHeight="1">
      <c r="V67" s="85"/>
      <c r="X67" s="85"/>
    </row>
    <row r="68" ht="15.75" customHeight="1">
      <c r="V68" s="85"/>
      <c r="X68" s="85"/>
    </row>
    <row r="69" ht="15.75" customHeight="1">
      <c r="V69" s="85"/>
      <c r="X69" s="85"/>
    </row>
    <row r="70" ht="15.75" customHeight="1">
      <c r="V70" s="85"/>
      <c r="X70" s="85"/>
    </row>
    <row r="71" ht="15.75" customHeight="1">
      <c r="V71" s="85"/>
      <c r="X71" s="85"/>
    </row>
    <row r="72" ht="15.75" customHeight="1">
      <c r="V72" s="85"/>
      <c r="X72" s="85"/>
    </row>
    <row r="73" ht="15.75" customHeight="1">
      <c r="V73" s="85"/>
      <c r="X73" s="85"/>
    </row>
    <row r="74" ht="15.75" customHeight="1">
      <c r="V74" s="85"/>
      <c r="X74" s="85"/>
    </row>
    <row r="75" ht="15.75" customHeight="1">
      <c r="V75" s="85"/>
      <c r="X75" s="85"/>
    </row>
    <row r="76" ht="15.75" customHeight="1">
      <c r="V76" s="85"/>
      <c r="X76" s="85"/>
    </row>
    <row r="77" ht="15.75" customHeight="1">
      <c r="V77" s="85"/>
      <c r="X77" s="85"/>
    </row>
    <row r="78" ht="15.75" customHeight="1">
      <c r="V78" s="85"/>
      <c r="X78" s="85"/>
    </row>
    <row r="79" ht="15.75" customHeight="1">
      <c r="V79" s="85"/>
      <c r="X79" s="85"/>
    </row>
    <row r="80" ht="15.75" customHeight="1">
      <c r="V80" s="85"/>
      <c r="X80" s="85"/>
    </row>
    <row r="81" ht="15.75" customHeight="1">
      <c r="V81" s="85"/>
      <c r="X81" s="85"/>
    </row>
    <row r="82" ht="15.75" customHeight="1">
      <c r="V82" s="85"/>
      <c r="X82" s="85"/>
    </row>
    <row r="83" ht="15.75" customHeight="1">
      <c r="V83" s="85"/>
      <c r="X83" s="85"/>
    </row>
    <row r="84" ht="15.75" customHeight="1">
      <c r="V84" s="85"/>
      <c r="X84" s="85"/>
    </row>
    <row r="85" ht="15.75" customHeight="1">
      <c r="V85" s="85"/>
      <c r="X85" s="85"/>
    </row>
    <row r="86" ht="15.75" customHeight="1">
      <c r="V86" s="85"/>
      <c r="X86" s="85"/>
    </row>
    <row r="87" ht="15.75" customHeight="1">
      <c r="V87" s="85"/>
      <c r="X87" s="85"/>
    </row>
    <row r="88" ht="15.75" customHeight="1">
      <c r="V88" s="85"/>
      <c r="X88" s="85"/>
    </row>
    <row r="89" ht="15.75" customHeight="1">
      <c r="V89" s="85"/>
      <c r="X89" s="85"/>
    </row>
    <row r="90" ht="15.75" customHeight="1">
      <c r="V90" s="85"/>
      <c r="X90" s="85"/>
    </row>
    <row r="91" ht="15.75" customHeight="1">
      <c r="V91" s="85"/>
      <c r="X91" s="85"/>
    </row>
    <row r="92" ht="15.75" customHeight="1">
      <c r="V92" s="85"/>
      <c r="X92" s="85"/>
    </row>
    <row r="93" ht="15.75" customHeight="1">
      <c r="V93" s="85"/>
      <c r="X93" s="85"/>
    </row>
    <row r="94" ht="15.75" customHeight="1">
      <c r="V94" s="85"/>
      <c r="X94" s="85"/>
    </row>
    <row r="95" ht="15.75" customHeight="1">
      <c r="V95" s="85"/>
      <c r="X95" s="85"/>
    </row>
    <row r="96" ht="15.75" customHeight="1">
      <c r="V96" s="85"/>
      <c r="X96" s="85"/>
    </row>
    <row r="97" ht="15.75" customHeight="1">
      <c r="V97" s="85"/>
      <c r="X97" s="85"/>
    </row>
    <row r="98" ht="15.75" customHeight="1">
      <c r="V98" s="85"/>
      <c r="X98" s="85"/>
    </row>
    <row r="99" ht="15.75" customHeight="1">
      <c r="V99" s="85"/>
      <c r="X99" s="85"/>
    </row>
    <row r="100" ht="15.75" customHeight="1">
      <c r="V100" s="85"/>
      <c r="X100" s="85"/>
    </row>
    <row r="101" ht="15.75" customHeight="1">
      <c r="V101" s="85"/>
      <c r="X101" s="85"/>
    </row>
    <row r="102" ht="15.75" customHeight="1">
      <c r="V102" s="85"/>
      <c r="X102" s="85"/>
    </row>
    <row r="103" ht="15.75" customHeight="1">
      <c r="V103" s="85"/>
      <c r="X103" s="85"/>
    </row>
    <row r="104" ht="15.75" customHeight="1">
      <c r="V104" s="85"/>
      <c r="X104" s="85"/>
    </row>
    <row r="105" ht="15.75" customHeight="1">
      <c r="V105" s="85"/>
      <c r="X105" s="85"/>
    </row>
    <row r="106" ht="15.75" customHeight="1">
      <c r="V106" s="85"/>
      <c r="X106" s="85"/>
    </row>
    <row r="107" ht="15.75" customHeight="1">
      <c r="V107" s="85"/>
      <c r="X107" s="85"/>
    </row>
    <row r="108" ht="15.75" customHeight="1">
      <c r="V108" s="85"/>
      <c r="X108" s="85"/>
    </row>
    <row r="109" ht="15.75" customHeight="1">
      <c r="V109" s="85"/>
      <c r="X109" s="85"/>
    </row>
    <row r="110" ht="15.75" customHeight="1">
      <c r="V110" s="85"/>
      <c r="X110" s="85"/>
    </row>
    <row r="111" ht="15.75" customHeight="1">
      <c r="V111" s="85"/>
      <c r="X111" s="85"/>
    </row>
    <row r="112" ht="15.75" customHeight="1">
      <c r="V112" s="85"/>
      <c r="X112" s="85"/>
    </row>
    <row r="113" ht="15.75" customHeight="1">
      <c r="V113" s="85"/>
      <c r="X113" s="85"/>
    </row>
    <row r="114" ht="15.75" customHeight="1">
      <c r="V114" s="85"/>
      <c r="X114" s="85"/>
    </row>
    <row r="115" ht="15.75" customHeight="1">
      <c r="V115" s="85"/>
      <c r="X115" s="85"/>
    </row>
    <row r="116" ht="15.75" customHeight="1">
      <c r="V116" s="85"/>
      <c r="X116" s="85"/>
    </row>
    <row r="117" ht="15.75" customHeight="1">
      <c r="V117" s="85"/>
      <c r="X117" s="85"/>
    </row>
    <row r="118" ht="15.75" customHeight="1">
      <c r="V118" s="85"/>
      <c r="X118" s="85"/>
    </row>
    <row r="119" ht="15.75" customHeight="1">
      <c r="V119" s="85"/>
      <c r="X119" s="85"/>
    </row>
    <row r="120" ht="15.75" customHeight="1">
      <c r="V120" s="85"/>
      <c r="X120" s="85"/>
    </row>
    <row r="121" ht="15.75" customHeight="1">
      <c r="V121" s="85"/>
      <c r="X121" s="85"/>
    </row>
    <row r="122" ht="15.75" customHeight="1">
      <c r="V122" s="85"/>
      <c r="X122" s="85"/>
    </row>
    <row r="123" ht="15.75" customHeight="1">
      <c r="V123" s="85"/>
      <c r="X123" s="85"/>
    </row>
    <row r="124" ht="15.75" customHeight="1">
      <c r="V124" s="85"/>
      <c r="X124" s="85"/>
    </row>
    <row r="125" ht="15.75" customHeight="1">
      <c r="V125" s="85"/>
      <c r="X125" s="85"/>
    </row>
    <row r="126" ht="15.75" customHeight="1">
      <c r="V126" s="85"/>
      <c r="X126" s="85"/>
    </row>
    <row r="127" ht="15.75" customHeight="1">
      <c r="V127" s="85"/>
      <c r="X127" s="85"/>
    </row>
    <row r="128" ht="15.75" customHeight="1">
      <c r="V128" s="85"/>
      <c r="X128" s="85"/>
    </row>
    <row r="129" ht="15.75" customHeight="1">
      <c r="V129" s="85"/>
      <c r="X129" s="85"/>
    </row>
    <row r="130" ht="15.75" customHeight="1">
      <c r="V130" s="85"/>
      <c r="X130" s="85"/>
    </row>
    <row r="131" ht="15.75" customHeight="1">
      <c r="V131" s="85"/>
      <c r="X131" s="85"/>
    </row>
    <row r="132" ht="15.75" customHeight="1">
      <c r="V132" s="85"/>
      <c r="X132" s="85"/>
    </row>
    <row r="133" ht="15.75" customHeight="1">
      <c r="V133" s="85"/>
      <c r="X133" s="85"/>
    </row>
    <row r="134" ht="15.75" customHeight="1">
      <c r="V134" s="85"/>
      <c r="X134" s="85"/>
    </row>
    <row r="135" ht="15.75" customHeight="1">
      <c r="V135" s="85"/>
      <c r="X135" s="85"/>
    </row>
    <row r="136" ht="15.75" customHeight="1">
      <c r="V136" s="85"/>
      <c r="X136" s="85"/>
    </row>
    <row r="137" ht="15.75" customHeight="1">
      <c r="V137" s="85"/>
      <c r="X137" s="85"/>
    </row>
    <row r="138" ht="15.75" customHeight="1">
      <c r="V138" s="85"/>
      <c r="X138" s="85"/>
    </row>
    <row r="139" ht="15.75" customHeight="1">
      <c r="V139" s="85"/>
      <c r="X139" s="85"/>
    </row>
    <row r="140" ht="15.75" customHeight="1">
      <c r="V140" s="85"/>
      <c r="X140" s="85"/>
    </row>
    <row r="141" ht="15.75" customHeight="1">
      <c r="V141" s="85"/>
      <c r="X141" s="85"/>
    </row>
    <row r="142" ht="15.75" customHeight="1">
      <c r="V142" s="85"/>
      <c r="X142" s="85"/>
    </row>
    <row r="143" ht="15.75" customHeight="1">
      <c r="V143" s="85"/>
      <c r="X143" s="85"/>
    </row>
    <row r="144" ht="15.75" customHeight="1">
      <c r="V144" s="85"/>
      <c r="X144" s="85"/>
    </row>
    <row r="145" ht="15.75" customHeight="1">
      <c r="V145" s="85"/>
      <c r="X145" s="85"/>
    </row>
    <row r="146" ht="15.75" customHeight="1">
      <c r="V146" s="85"/>
      <c r="X146" s="85"/>
    </row>
    <row r="147" ht="15.75" customHeight="1">
      <c r="V147" s="85"/>
      <c r="X147" s="85"/>
    </row>
    <row r="148" ht="15.75" customHeight="1">
      <c r="V148" s="85"/>
      <c r="X148" s="85"/>
    </row>
    <row r="149" ht="15.75" customHeight="1">
      <c r="V149" s="85"/>
      <c r="X149" s="85"/>
    </row>
    <row r="150" ht="15.75" customHeight="1">
      <c r="V150" s="85"/>
      <c r="X150" s="85"/>
    </row>
    <row r="151" ht="15.75" customHeight="1">
      <c r="V151" s="85"/>
      <c r="X151" s="85"/>
    </row>
    <row r="152" ht="15.75" customHeight="1">
      <c r="V152" s="85"/>
      <c r="X152" s="85"/>
    </row>
    <row r="153" ht="15.75" customHeight="1">
      <c r="V153" s="85"/>
      <c r="X153" s="85"/>
    </row>
    <row r="154" ht="15.75" customHeight="1">
      <c r="V154" s="85"/>
      <c r="X154" s="85"/>
    </row>
    <row r="155" ht="15.75" customHeight="1">
      <c r="V155" s="85"/>
      <c r="X155" s="85"/>
    </row>
    <row r="156" ht="15.75" customHeight="1">
      <c r="V156" s="85"/>
      <c r="X156" s="85"/>
    </row>
    <row r="157" ht="15.75" customHeight="1">
      <c r="V157" s="85"/>
      <c r="X157" s="85"/>
    </row>
    <row r="158" ht="15.75" customHeight="1">
      <c r="V158" s="85"/>
      <c r="X158" s="85"/>
    </row>
    <row r="159" ht="15.75" customHeight="1">
      <c r="V159" s="85"/>
      <c r="X159" s="85"/>
    </row>
    <row r="160" ht="15.75" customHeight="1">
      <c r="V160" s="85"/>
      <c r="X160" s="85"/>
    </row>
    <row r="161" ht="15.75" customHeight="1">
      <c r="V161" s="85"/>
      <c r="X161" s="85"/>
    </row>
    <row r="162" ht="15.75" customHeight="1">
      <c r="V162" s="85"/>
      <c r="X162" s="85"/>
    </row>
    <row r="163" ht="15.75" customHeight="1">
      <c r="V163" s="85"/>
      <c r="X163" s="85"/>
    </row>
    <row r="164" ht="15.75" customHeight="1">
      <c r="V164" s="85"/>
      <c r="X164" s="85"/>
    </row>
    <row r="165" ht="15.75" customHeight="1">
      <c r="V165" s="85"/>
      <c r="X165" s="85"/>
    </row>
    <row r="166" ht="15.75" customHeight="1">
      <c r="V166" s="85"/>
      <c r="X166" s="85"/>
    </row>
    <row r="167" ht="15.75" customHeight="1">
      <c r="V167" s="85"/>
      <c r="X167" s="85"/>
    </row>
    <row r="168" ht="15.75" customHeight="1">
      <c r="V168" s="85"/>
      <c r="X168" s="85"/>
    </row>
    <row r="169" ht="15.75" customHeight="1">
      <c r="V169" s="85"/>
      <c r="X169" s="85"/>
    </row>
    <row r="170" ht="15.75" customHeight="1">
      <c r="V170" s="85"/>
      <c r="X170" s="85"/>
    </row>
    <row r="171" ht="15.75" customHeight="1">
      <c r="V171" s="85"/>
      <c r="X171" s="85"/>
    </row>
    <row r="172" ht="15.75" customHeight="1">
      <c r="V172" s="85"/>
      <c r="X172" s="85"/>
    </row>
    <row r="173" ht="15.75" customHeight="1">
      <c r="V173" s="85"/>
      <c r="X173" s="85"/>
    </row>
    <row r="174" ht="15.75" customHeight="1">
      <c r="V174" s="85"/>
      <c r="X174" s="85"/>
    </row>
    <row r="175" ht="15.75" customHeight="1">
      <c r="V175" s="85"/>
      <c r="X175" s="85"/>
    </row>
    <row r="176" ht="15.75" customHeight="1">
      <c r="V176" s="85"/>
      <c r="X176" s="85"/>
    </row>
    <row r="177" ht="15.75" customHeight="1">
      <c r="V177" s="85"/>
      <c r="X177" s="85"/>
    </row>
    <row r="178" ht="15.75" customHeight="1">
      <c r="V178" s="85"/>
      <c r="X178" s="85"/>
    </row>
    <row r="179" ht="15.75" customHeight="1">
      <c r="V179" s="85"/>
      <c r="X179" s="85"/>
    </row>
    <row r="180" ht="15.75" customHeight="1">
      <c r="V180" s="85"/>
      <c r="X180" s="85"/>
    </row>
    <row r="181" ht="15.75" customHeight="1">
      <c r="V181" s="85"/>
      <c r="X181" s="85"/>
    </row>
    <row r="182" ht="15.75" customHeight="1">
      <c r="V182" s="85"/>
      <c r="X182" s="85"/>
    </row>
    <row r="183" ht="15.75" customHeight="1">
      <c r="V183" s="85"/>
      <c r="X183" s="85"/>
    </row>
    <row r="184" ht="15.75" customHeight="1">
      <c r="V184" s="85"/>
      <c r="X184" s="85"/>
    </row>
    <row r="185" ht="15.75" customHeight="1">
      <c r="V185" s="85"/>
      <c r="X185" s="85"/>
    </row>
    <row r="186" ht="15.75" customHeight="1">
      <c r="V186" s="85"/>
      <c r="X186" s="85"/>
    </row>
    <row r="187" ht="15.75" customHeight="1">
      <c r="V187" s="85"/>
      <c r="X187" s="85"/>
    </row>
    <row r="188" ht="15.75" customHeight="1">
      <c r="V188" s="85"/>
      <c r="X188" s="85"/>
    </row>
    <row r="189" ht="15.75" customHeight="1">
      <c r="V189" s="85"/>
      <c r="X189" s="85"/>
    </row>
    <row r="190" ht="15.75" customHeight="1">
      <c r="V190" s="85"/>
      <c r="X190" s="85"/>
    </row>
    <row r="191" ht="15.75" customHeight="1">
      <c r="V191" s="85"/>
      <c r="X191" s="85"/>
    </row>
    <row r="192" ht="15.75" customHeight="1">
      <c r="V192" s="85"/>
      <c r="X192" s="85"/>
    </row>
    <row r="193" ht="15.75" customHeight="1">
      <c r="V193" s="85"/>
      <c r="X193" s="85"/>
    </row>
    <row r="194" ht="15.75" customHeight="1">
      <c r="V194" s="85"/>
      <c r="X194" s="85"/>
    </row>
    <row r="195" ht="15.75" customHeight="1">
      <c r="V195" s="85"/>
      <c r="X195" s="85"/>
    </row>
    <row r="196" ht="15.75" customHeight="1">
      <c r="V196" s="85"/>
      <c r="X196" s="85"/>
    </row>
    <row r="197" ht="15.75" customHeight="1">
      <c r="V197" s="85"/>
      <c r="X197" s="85"/>
    </row>
    <row r="198" ht="15.75" customHeight="1">
      <c r="V198" s="85"/>
      <c r="X198" s="85"/>
    </row>
    <row r="199" ht="15.75" customHeight="1">
      <c r="V199" s="85"/>
      <c r="X199" s="85"/>
    </row>
    <row r="200" ht="15.75" customHeight="1">
      <c r="V200" s="85"/>
      <c r="X200" s="85"/>
    </row>
    <row r="201" ht="15.75" customHeight="1">
      <c r="V201" s="85"/>
      <c r="X201" s="85"/>
    </row>
    <row r="202" ht="15.75" customHeight="1">
      <c r="V202" s="85"/>
      <c r="X202" s="85"/>
    </row>
    <row r="203" ht="15.75" customHeight="1">
      <c r="V203" s="85"/>
      <c r="X203" s="85"/>
    </row>
    <row r="204" ht="15.75" customHeight="1">
      <c r="V204" s="85"/>
      <c r="X204" s="85"/>
    </row>
    <row r="205" ht="15.75" customHeight="1">
      <c r="V205" s="85"/>
      <c r="X205" s="85"/>
    </row>
    <row r="206" ht="15.75" customHeight="1">
      <c r="V206" s="85"/>
      <c r="X206" s="85"/>
    </row>
    <row r="207" ht="15.75" customHeight="1">
      <c r="V207" s="85"/>
      <c r="X207" s="85"/>
    </row>
    <row r="208" ht="15.75" customHeight="1">
      <c r="V208" s="85"/>
      <c r="X208" s="85"/>
    </row>
    <row r="209" ht="15.75" customHeight="1">
      <c r="V209" s="85"/>
      <c r="X209" s="85"/>
    </row>
    <row r="210" ht="15.75" customHeight="1">
      <c r="V210" s="85"/>
      <c r="X210" s="85"/>
    </row>
    <row r="211" ht="15.75" customHeight="1">
      <c r="V211" s="85"/>
      <c r="X211" s="85"/>
    </row>
    <row r="212" ht="15.75" customHeight="1">
      <c r="V212" s="85"/>
      <c r="X212" s="85"/>
    </row>
    <row r="213" ht="15.75" customHeight="1">
      <c r="V213" s="85"/>
      <c r="X213" s="85"/>
    </row>
    <row r="214" ht="15.75" customHeight="1">
      <c r="V214" s="85"/>
      <c r="X214" s="85"/>
    </row>
    <row r="215" ht="15.75" customHeight="1">
      <c r="V215" s="85"/>
      <c r="X215" s="85"/>
    </row>
    <row r="216" ht="15.75" customHeight="1">
      <c r="V216" s="85"/>
      <c r="X216" s="85"/>
    </row>
    <row r="217" ht="15.75" customHeight="1">
      <c r="V217" s="85"/>
      <c r="X217" s="85"/>
    </row>
    <row r="218" ht="15.75" customHeight="1">
      <c r="V218" s="85"/>
      <c r="X218" s="85"/>
    </row>
    <row r="219" ht="15.75" customHeight="1">
      <c r="V219" s="85"/>
      <c r="X219" s="85"/>
    </row>
    <row r="220" ht="15.75" customHeight="1">
      <c r="V220" s="85"/>
      <c r="X220" s="85"/>
    </row>
    <row r="221" ht="15.75" customHeight="1">
      <c r="V221" s="85"/>
      <c r="X221" s="85"/>
    </row>
    <row r="222" ht="15.75" customHeight="1">
      <c r="V222" s="85"/>
      <c r="X222" s="85"/>
    </row>
    <row r="223" ht="15.75" customHeight="1">
      <c r="V223" s="85"/>
      <c r="X223" s="85"/>
    </row>
    <row r="224" ht="15.75" customHeight="1">
      <c r="V224" s="85"/>
      <c r="X224" s="85"/>
    </row>
    <row r="225" ht="15.75" customHeight="1">
      <c r="V225" s="85"/>
      <c r="X225" s="85"/>
    </row>
    <row r="226" ht="15.75" customHeight="1">
      <c r="V226" s="85"/>
      <c r="X226" s="85"/>
    </row>
    <row r="227" ht="15.75" customHeight="1">
      <c r="V227" s="85"/>
      <c r="X227" s="85"/>
    </row>
    <row r="228" ht="15.75" customHeight="1">
      <c r="V228" s="85"/>
      <c r="X228" s="85"/>
    </row>
    <row r="229" ht="15.75" customHeight="1">
      <c r="V229" s="85"/>
      <c r="X229" s="85"/>
    </row>
    <row r="230" ht="15.75" customHeight="1">
      <c r="V230" s="85"/>
      <c r="X230" s="85"/>
    </row>
    <row r="231" ht="15.75" customHeight="1">
      <c r="V231" s="85"/>
      <c r="X231" s="85"/>
    </row>
    <row r="232" ht="15.75" customHeight="1">
      <c r="V232" s="85"/>
      <c r="X232" s="85"/>
    </row>
    <row r="233" ht="15.75" customHeight="1">
      <c r="V233" s="85"/>
      <c r="X233" s="85"/>
    </row>
    <row r="234" ht="15.75" customHeight="1">
      <c r="V234" s="85"/>
      <c r="X234" s="85"/>
    </row>
    <row r="235" ht="15.75" customHeight="1">
      <c r="V235" s="85"/>
      <c r="X235" s="85"/>
    </row>
    <row r="236" ht="15.75" customHeight="1">
      <c r="V236" s="85"/>
      <c r="X236" s="85"/>
    </row>
    <row r="237" ht="15.75" customHeight="1">
      <c r="V237" s="85"/>
      <c r="X237" s="85"/>
    </row>
    <row r="238" ht="15.75" customHeight="1">
      <c r="V238" s="85"/>
      <c r="X238" s="85"/>
    </row>
    <row r="239" ht="15.75" customHeight="1">
      <c r="V239" s="85"/>
      <c r="X239" s="85"/>
    </row>
    <row r="240" ht="15.75" customHeight="1">
      <c r="V240" s="85"/>
      <c r="X240" s="85"/>
    </row>
    <row r="241" ht="15.75" customHeight="1">
      <c r="V241" s="85"/>
      <c r="X241" s="85"/>
    </row>
    <row r="242" ht="15.75" customHeight="1">
      <c r="V242" s="85"/>
      <c r="X242" s="85"/>
    </row>
    <row r="243" ht="15.75" customHeight="1">
      <c r="V243" s="85"/>
      <c r="X243" s="85"/>
    </row>
    <row r="244" ht="15.75" customHeight="1">
      <c r="V244" s="85"/>
      <c r="X244" s="85"/>
    </row>
    <row r="245" ht="15.75" customHeight="1">
      <c r="V245" s="85"/>
      <c r="X245" s="85"/>
    </row>
    <row r="246" ht="15.75" customHeight="1">
      <c r="V246" s="85"/>
      <c r="X246" s="85"/>
    </row>
    <row r="247" ht="15.75" customHeight="1">
      <c r="V247" s="85"/>
      <c r="X247" s="85"/>
    </row>
    <row r="248" ht="15.75" customHeight="1">
      <c r="V248" s="85"/>
      <c r="X248" s="85"/>
    </row>
    <row r="249" ht="15.75" customHeight="1">
      <c r="V249" s="85"/>
      <c r="X249" s="85"/>
    </row>
    <row r="250" ht="15.75" customHeight="1">
      <c r="V250" s="85"/>
      <c r="X250" s="85"/>
    </row>
    <row r="251" ht="15.75" customHeight="1">
      <c r="V251" s="85"/>
      <c r="X251" s="85"/>
    </row>
    <row r="252" ht="15.75" customHeight="1">
      <c r="V252" s="85"/>
      <c r="X252" s="85"/>
    </row>
    <row r="253" ht="15.75" customHeight="1">
      <c r="V253" s="85"/>
      <c r="X253" s="85"/>
    </row>
    <row r="254" ht="15.75" customHeight="1">
      <c r="V254" s="85"/>
      <c r="X254" s="85"/>
    </row>
    <row r="255" ht="15.75" customHeight="1">
      <c r="V255" s="85"/>
      <c r="X255" s="85"/>
    </row>
    <row r="256" ht="15.75" customHeight="1">
      <c r="V256" s="85"/>
      <c r="X256" s="85"/>
    </row>
    <row r="257" ht="15.75" customHeight="1">
      <c r="V257" s="85"/>
      <c r="X257" s="85"/>
    </row>
    <row r="258" ht="15.75" customHeight="1">
      <c r="V258" s="85"/>
      <c r="X258" s="85"/>
    </row>
    <row r="259" ht="15.75" customHeight="1">
      <c r="V259" s="85"/>
      <c r="X259" s="85"/>
    </row>
    <row r="260" ht="15.75" customHeight="1">
      <c r="V260" s="85"/>
      <c r="X260" s="85"/>
    </row>
    <row r="261" ht="15.75" customHeight="1">
      <c r="V261" s="85"/>
      <c r="X261" s="85"/>
    </row>
    <row r="262" ht="15.75" customHeight="1">
      <c r="V262" s="85"/>
      <c r="X262" s="85"/>
    </row>
    <row r="263" ht="15.75" customHeight="1">
      <c r="V263" s="85"/>
      <c r="X263" s="85"/>
    </row>
    <row r="264" ht="15.75" customHeight="1">
      <c r="V264" s="85"/>
      <c r="X264" s="85"/>
    </row>
    <row r="265" ht="15.75" customHeight="1">
      <c r="V265" s="85"/>
      <c r="X265" s="85"/>
    </row>
    <row r="266" ht="15.75" customHeight="1">
      <c r="V266" s="85"/>
      <c r="X266" s="85"/>
    </row>
    <row r="267" ht="15.75" customHeight="1">
      <c r="V267" s="85"/>
      <c r="X267" s="85"/>
    </row>
    <row r="268" ht="15.75" customHeight="1">
      <c r="V268" s="85"/>
      <c r="X268" s="85"/>
    </row>
    <row r="269" ht="15.75" customHeight="1">
      <c r="V269" s="85"/>
      <c r="X269" s="85"/>
    </row>
    <row r="270" ht="15.75" customHeight="1">
      <c r="V270" s="85"/>
      <c r="X270" s="85"/>
    </row>
    <row r="271" ht="15.75" customHeight="1">
      <c r="V271" s="85"/>
      <c r="X271" s="85"/>
    </row>
    <row r="272" ht="15.75" customHeight="1">
      <c r="V272" s="85"/>
      <c r="X272" s="85"/>
    </row>
    <row r="273" ht="15.75" customHeight="1">
      <c r="V273" s="85"/>
      <c r="X273" s="85"/>
    </row>
    <row r="274" ht="15.75" customHeight="1">
      <c r="V274" s="85"/>
      <c r="X274" s="85"/>
    </row>
    <row r="275" ht="15.75" customHeight="1">
      <c r="V275" s="85"/>
      <c r="X275" s="85"/>
    </row>
    <row r="276" ht="15.75" customHeight="1">
      <c r="V276" s="85"/>
      <c r="X276" s="85"/>
    </row>
    <row r="277" ht="15.75" customHeight="1">
      <c r="V277" s="85"/>
      <c r="X277" s="85"/>
    </row>
    <row r="278" ht="15.75" customHeight="1">
      <c r="V278" s="85"/>
      <c r="X278" s="85"/>
    </row>
    <row r="279" ht="15.75" customHeight="1">
      <c r="V279" s="85"/>
      <c r="X279" s="85"/>
    </row>
    <row r="280" ht="15.75" customHeight="1">
      <c r="V280" s="85"/>
      <c r="X280" s="85"/>
    </row>
    <row r="281" ht="15.75" customHeight="1">
      <c r="V281" s="85"/>
      <c r="X281" s="85"/>
    </row>
    <row r="282" ht="15.75" customHeight="1">
      <c r="V282" s="85"/>
      <c r="X282" s="85"/>
    </row>
    <row r="283" ht="15.75" customHeight="1">
      <c r="V283" s="85"/>
      <c r="X283" s="85"/>
    </row>
    <row r="284" ht="15.75" customHeight="1">
      <c r="V284" s="85"/>
      <c r="X284" s="85"/>
    </row>
    <row r="285" ht="15.75" customHeight="1">
      <c r="V285" s="85"/>
      <c r="X285" s="85"/>
    </row>
    <row r="286" ht="15.75" customHeight="1">
      <c r="V286" s="85"/>
      <c r="X286" s="85"/>
    </row>
    <row r="287" ht="15.75" customHeight="1">
      <c r="V287" s="85"/>
      <c r="X287" s="85"/>
    </row>
    <row r="288" ht="15.75" customHeight="1">
      <c r="V288" s="85"/>
      <c r="X288" s="85"/>
    </row>
    <row r="289" ht="15.75" customHeight="1">
      <c r="V289" s="85"/>
      <c r="X289" s="85"/>
    </row>
    <row r="290" ht="15.75" customHeight="1">
      <c r="V290" s="85"/>
      <c r="X290" s="85"/>
    </row>
    <row r="291" ht="15.75" customHeight="1">
      <c r="V291" s="85"/>
      <c r="X291" s="85"/>
    </row>
    <row r="292" ht="15.75" customHeight="1">
      <c r="V292" s="85"/>
      <c r="X292" s="85"/>
    </row>
    <row r="293" ht="15.75" customHeight="1">
      <c r="V293" s="85"/>
      <c r="X293" s="85"/>
    </row>
    <row r="294" ht="15.75" customHeight="1">
      <c r="V294" s="85"/>
      <c r="X294" s="85"/>
    </row>
    <row r="295" ht="15.75" customHeight="1">
      <c r="V295" s="85"/>
      <c r="X295" s="85"/>
    </row>
    <row r="296" ht="15.75" customHeight="1">
      <c r="V296" s="85"/>
      <c r="X296" s="85"/>
    </row>
    <row r="297" ht="15.75" customHeight="1">
      <c r="V297" s="85"/>
      <c r="X297" s="85"/>
    </row>
    <row r="298" ht="15.75" customHeight="1">
      <c r="V298" s="85"/>
      <c r="X298" s="85"/>
    </row>
    <row r="299" ht="15.75" customHeight="1">
      <c r="V299" s="85"/>
      <c r="X299" s="85"/>
    </row>
    <row r="300" ht="15.75" customHeight="1">
      <c r="V300" s="85"/>
      <c r="X300" s="85"/>
    </row>
    <row r="301" ht="15.75" customHeight="1">
      <c r="V301" s="85"/>
      <c r="X301" s="85"/>
    </row>
    <row r="302" ht="15.75" customHeight="1">
      <c r="V302" s="85"/>
      <c r="X302" s="85"/>
    </row>
    <row r="303" ht="15.75" customHeight="1">
      <c r="V303" s="85"/>
      <c r="X303" s="85"/>
    </row>
    <row r="304" ht="15.75" customHeight="1">
      <c r="V304" s="85"/>
      <c r="X304" s="85"/>
    </row>
    <row r="305" ht="15.75" customHeight="1">
      <c r="V305" s="85"/>
      <c r="X305" s="85"/>
    </row>
    <row r="306" ht="15.75" customHeight="1">
      <c r="V306" s="85"/>
      <c r="X306" s="85"/>
    </row>
    <row r="307" ht="15.75" customHeight="1">
      <c r="V307" s="85"/>
      <c r="X307" s="85"/>
    </row>
    <row r="308" ht="15.75" customHeight="1">
      <c r="V308" s="85"/>
      <c r="X308" s="85"/>
    </row>
    <row r="309" ht="15.75" customHeight="1">
      <c r="V309" s="85"/>
      <c r="X309" s="85"/>
    </row>
    <row r="310" ht="15.75" customHeight="1">
      <c r="V310" s="85"/>
      <c r="X310" s="85"/>
    </row>
    <row r="311" ht="15.75" customHeight="1">
      <c r="V311" s="85"/>
      <c r="X311" s="85"/>
    </row>
    <row r="312" ht="15.75" customHeight="1">
      <c r="V312" s="85"/>
      <c r="X312" s="85"/>
    </row>
    <row r="313" ht="15.75" customHeight="1">
      <c r="V313" s="85"/>
      <c r="X313" s="85"/>
    </row>
    <row r="314" ht="15.75" customHeight="1">
      <c r="V314" s="85"/>
      <c r="X314" s="85"/>
    </row>
    <row r="315" ht="15.75" customHeight="1">
      <c r="V315" s="85"/>
      <c r="X315" s="85"/>
    </row>
    <row r="316" ht="15.75" customHeight="1">
      <c r="V316" s="85"/>
      <c r="X316" s="85"/>
    </row>
    <row r="317" ht="15.75" customHeight="1">
      <c r="V317" s="85"/>
      <c r="X317" s="85"/>
    </row>
    <row r="318" ht="15.75" customHeight="1">
      <c r="V318" s="85"/>
      <c r="X318" s="85"/>
    </row>
    <row r="319" ht="15.75" customHeight="1">
      <c r="V319" s="85"/>
      <c r="X319" s="85"/>
    </row>
    <row r="320" ht="15.75" customHeight="1">
      <c r="V320" s="85"/>
      <c r="X320" s="85"/>
    </row>
    <row r="321" ht="15.75" customHeight="1">
      <c r="V321" s="85"/>
      <c r="X321" s="85"/>
    </row>
    <row r="322" ht="15.75" customHeight="1">
      <c r="V322" s="85"/>
      <c r="X322" s="85"/>
    </row>
    <row r="323" ht="15.75" customHeight="1">
      <c r="V323" s="85"/>
      <c r="X323" s="85"/>
    </row>
    <row r="324" ht="15.75" customHeight="1">
      <c r="V324" s="85"/>
      <c r="X324" s="85"/>
    </row>
    <row r="325" ht="15.75" customHeight="1">
      <c r="V325" s="85"/>
      <c r="X325" s="85"/>
    </row>
    <row r="326" ht="15.75" customHeight="1">
      <c r="V326" s="85"/>
      <c r="X326" s="85"/>
    </row>
    <row r="327" ht="15.75" customHeight="1">
      <c r="V327" s="85"/>
      <c r="X327" s="85"/>
    </row>
    <row r="328" ht="15.75" customHeight="1">
      <c r="V328" s="85"/>
      <c r="X328" s="85"/>
    </row>
    <row r="329" ht="15.75" customHeight="1">
      <c r="V329" s="85"/>
      <c r="X329" s="85"/>
    </row>
    <row r="330" ht="15.75" customHeight="1">
      <c r="V330" s="85"/>
      <c r="X330" s="85"/>
    </row>
    <row r="331" ht="15.75" customHeight="1">
      <c r="V331" s="85"/>
      <c r="X331" s="85"/>
    </row>
    <row r="332" ht="15.75" customHeight="1">
      <c r="V332" s="85"/>
      <c r="X332" s="85"/>
    </row>
    <row r="333" ht="15.75" customHeight="1">
      <c r="V333" s="85"/>
      <c r="X333" s="85"/>
    </row>
    <row r="334" ht="15.75" customHeight="1">
      <c r="V334" s="85"/>
      <c r="X334" s="85"/>
    </row>
    <row r="335" ht="15.75" customHeight="1">
      <c r="V335" s="85"/>
      <c r="X335" s="85"/>
    </row>
    <row r="336" ht="15.75" customHeight="1">
      <c r="V336" s="85"/>
      <c r="X336" s="85"/>
    </row>
    <row r="337" ht="15.75" customHeight="1">
      <c r="V337" s="85"/>
      <c r="X337" s="85"/>
    </row>
    <row r="338" ht="15.75" customHeight="1">
      <c r="V338" s="85"/>
      <c r="X338" s="85"/>
    </row>
    <row r="339" ht="15.75" customHeight="1">
      <c r="V339" s="85"/>
      <c r="X339" s="85"/>
    </row>
    <row r="340" ht="15.75" customHeight="1">
      <c r="V340" s="85"/>
      <c r="X340" s="85"/>
    </row>
    <row r="341" ht="15.75" customHeight="1">
      <c r="V341" s="85"/>
      <c r="X341" s="85"/>
    </row>
    <row r="342" ht="15.75" customHeight="1">
      <c r="V342" s="85"/>
      <c r="X342" s="85"/>
    </row>
    <row r="343" ht="15.75" customHeight="1">
      <c r="V343" s="85"/>
      <c r="X343" s="85"/>
    </row>
    <row r="344" ht="15.75" customHeight="1">
      <c r="V344" s="85"/>
      <c r="X344" s="85"/>
    </row>
    <row r="345" ht="15.75" customHeight="1">
      <c r="V345" s="85"/>
      <c r="X345" s="85"/>
    </row>
    <row r="346" ht="15.75" customHeight="1">
      <c r="V346" s="85"/>
      <c r="X346" s="85"/>
    </row>
    <row r="347" ht="15.75" customHeight="1">
      <c r="V347" s="85"/>
      <c r="X347" s="85"/>
    </row>
    <row r="348" ht="15.75" customHeight="1">
      <c r="V348" s="85"/>
      <c r="X348" s="85"/>
    </row>
    <row r="349" ht="15.75" customHeight="1">
      <c r="V349" s="85"/>
      <c r="X349" s="85"/>
    </row>
    <row r="350" ht="15.75" customHeight="1">
      <c r="V350" s="85"/>
      <c r="X350" s="85"/>
    </row>
    <row r="351" ht="15.75" customHeight="1">
      <c r="V351" s="85"/>
      <c r="X351" s="85"/>
    </row>
    <row r="352" ht="15.75" customHeight="1">
      <c r="V352" s="85"/>
      <c r="X352" s="85"/>
    </row>
    <row r="353" ht="15.75" customHeight="1">
      <c r="V353" s="85"/>
      <c r="X353" s="85"/>
    </row>
    <row r="354" ht="15.75" customHeight="1">
      <c r="V354" s="85"/>
      <c r="X354" s="85"/>
    </row>
    <row r="355" ht="15.75" customHeight="1">
      <c r="V355" s="85"/>
      <c r="X355" s="85"/>
    </row>
    <row r="356" ht="15.75" customHeight="1">
      <c r="V356" s="85"/>
      <c r="X356" s="85"/>
    </row>
    <row r="357" ht="15.75" customHeight="1">
      <c r="V357" s="85"/>
      <c r="X357" s="85"/>
    </row>
    <row r="358" ht="15.75" customHeight="1">
      <c r="V358" s="85"/>
      <c r="X358" s="85"/>
    </row>
    <row r="359" ht="15.75" customHeight="1">
      <c r="V359" s="85"/>
      <c r="X359" s="85"/>
    </row>
    <row r="360" ht="15.75" customHeight="1">
      <c r="V360" s="85"/>
      <c r="X360" s="85"/>
    </row>
    <row r="361" ht="15.75" customHeight="1">
      <c r="V361" s="85"/>
      <c r="X361" s="85"/>
    </row>
    <row r="362" ht="15.75" customHeight="1">
      <c r="V362" s="85"/>
      <c r="X362" s="85"/>
    </row>
    <row r="363" ht="15.75" customHeight="1">
      <c r="V363" s="85"/>
      <c r="X363" s="85"/>
    </row>
    <row r="364" ht="15.75" customHeight="1">
      <c r="V364" s="85"/>
      <c r="X364" s="85"/>
    </row>
    <row r="365" ht="15.75" customHeight="1">
      <c r="V365" s="85"/>
      <c r="X365" s="85"/>
    </row>
    <row r="366" ht="15.75" customHeight="1">
      <c r="V366" s="85"/>
      <c r="X366" s="85"/>
    </row>
    <row r="367" ht="15.75" customHeight="1">
      <c r="V367" s="85"/>
      <c r="X367" s="85"/>
    </row>
    <row r="368" ht="15.75" customHeight="1">
      <c r="V368" s="85"/>
      <c r="X368" s="85"/>
    </row>
    <row r="369" ht="15.75" customHeight="1">
      <c r="V369" s="85"/>
      <c r="X369" s="85"/>
    </row>
    <row r="370" ht="15.75" customHeight="1">
      <c r="V370" s="85"/>
      <c r="X370" s="85"/>
    </row>
    <row r="371" ht="15.75" customHeight="1">
      <c r="V371" s="85"/>
      <c r="X371" s="85"/>
    </row>
    <row r="372" ht="15.75" customHeight="1">
      <c r="V372" s="85"/>
      <c r="X372" s="85"/>
    </row>
    <row r="373" ht="15.75" customHeight="1">
      <c r="V373" s="85"/>
      <c r="X373" s="85"/>
    </row>
    <row r="374" ht="15.75" customHeight="1">
      <c r="V374" s="85"/>
      <c r="X374" s="85"/>
    </row>
    <row r="375" ht="15.75" customHeight="1">
      <c r="V375" s="85"/>
      <c r="X375" s="85"/>
    </row>
    <row r="376" ht="15.75" customHeight="1">
      <c r="V376" s="85"/>
      <c r="X376" s="85"/>
    </row>
    <row r="377" ht="15.75" customHeight="1">
      <c r="V377" s="85"/>
      <c r="X377" s="85"/>
    </row>
    <row r="378" ht="15.75" customHeight="1">
      <c r="V378" s="85"/>
      <c r="X378" s="85"/>
    </row>
    <row r="379" ht="15.75" customHeight="1">
      <c r="V379" s="85"/>
      <c r="X379" s="85"/>
    </row>
    <row r="380" ht="15.75" customHeight="1">
      <c r="V380" s="85"/>
      <c r="X380" s="85"/>
    </row>
    <row r="381" ht="15.75" customHeight="1">
      <c r="V381" s="85"/>
      <c r="X381" s="85"/>
    </row>
    <row r="382" ht="15.75" customHeight="1">
      <c r="V382" s="85"/>
      <c r="X382" s="85"/>
    </row>
    <row r="383" ht="15.75" customHeight="1">
      <c r="V383" s="85"/>
      <c r="X383" s="85"/>
    </row>
    <row r="384" ht="15.75" customHeight="1">
      <c r="V384" s="85"/>
      <c r="X384" s="85"/>
    </row>
    <row r="385" ht="15.75" customHeight="1">
      <c r="V385" s="85"/>
      <c r="X385" s="85"/>
    </row>
    <row r="386" ht="15.75" customHeight="1">
      <c r="V386" s="85"/>
      <c r="X386" s="85"/>
    </row>
    <row r="387" ht="15.75" customHeight="1">
      <c r="V387" s="85"/>
      <c r="X387" s="85"/>
    </row>
    <row r="388" ht="15.75" customHeight="1">
      <c r="V388" s="85"/>
      <c r="X388" s="85"/>
    </row>
    <row r="389" ht="15.75" customHeight="1">
      <c r="V389" s="85"/>
      <c r="X389" s="85"/>
    </row>
    <row r="390" ht="15.75" customHeight="1">
      <c r="V390" s="85"/>
      <c r="X390" s="85"/>
    </row>
    <row r="391" ht="15.75" customHeight="1">
      <c r="V391" s="85"/>
      <c r="X391" s="85"/>
    </row>
    <row r="392" ht="15.75" customHeight="1">
      <c r="V392" s="85"/>
      <c r="X392" s="85"/>
    </row>
    <row r="393" ht="15.75" customHeight="1">
      <c r="V393" s="85"/>
      <c r="X393" s="85"/>
    </row>
    <row r="394" ht="15.75" customHeight="1">
      <c r="V394" s="85"/>
      <c r="X394" s="85"/>
    </row>
    <row r="395" ht="15.75" customHeight="1">
      <c r="V395" s="85"/>
      <c r="X395" s="85"/>
    </row>
    <row r="396" ht="15.75" customHeight="1">
      <c r="V396" s="85"/>
      <c r="X396" s="85"/>
    </row>
    <row r="397" ht="15.75" customHeight="1">
      <c r="V397" s="85"/>
      <c r="X397" s="85"/>
    </row>
    <row r="398" ht="15.75" customHeight="1">
      <c r="V398" s="85"/>
      <c r="X398" s="85"/>
    </row>
    <row r="399" ht="15.75" customHeight="1">
      <c r="V399" s="85"/>
      <c r="X399" s="85"/>
    </row>
    <row r="400" ht="15.75" customHeight="1">
      <c r="V400" s="85"/>
      <c r="X400" s="85"/>
    </row>
    <row r="401" ht="15.75" customHeight="1">
      <c r="V401" s="85"/>
      <c r="X401" s="85"/>
    </row>
    <row r="402" ht="15.75" customHeight="1">
      <c r="V402" s="85"/>
      <c r="X402" s="85"/>
    </row>
    <row r="403" ht="15.75" customHeight="1">
      <c r="V403" s="85"/>
      <c r="X403" s="85"/>
    </row>
    <row r="404" ht="15.75" customHeight="1">
      <c r="V404" s="85"/>
      <c r="X404" s="85"/>
    </row>
    <row r="405" ht="15.75" customHeight="1">
      <c r="V405" s="85"/>
      <c r="X405" s="85"/>
    </row>
    <row r="406" ht="15.75" customHeight="1">
      <c r="V406" s="85"/>
      <c r="X406" s="85"/>
    </row>
    <row r="407" ht="15.75" customHeight="1">
      <c r="V407" s="85"/>
      <c r="X407" s="85"/>
    </row>
    <row r="408" ht="15.75" customHeight="1">
      <c r="V408" s="85"/>
      <c r="X408" s="85"/>
    </row>
    <row r="409" ht="15.75" customHeight="1">
      <c r="V409" s="85"/>
      <c r="X409" s="85"/>
    </row>
    <row r="410" ht="15.75" customHeight="1">
      <c r="V410" s="85"/>
      <c r="X410" s="85"/>
    </row>
    <row r="411" ht="15.75" customHeight="1">
      <c r="V411" s="85"/>
      <c r="X411" s="85"/>
    </row>
    <row r="412" ht="15.75" customHeight="1">
      <c r="V412" s="85"/>
      <c r="X412" s="85"/>
    </row>
    <row r="413" ht="15.75" customHeight="1">
      <c r="V413" s="85"/>
      <c r="X413" s="85"/>
    </row>
    <row r="414" ht="15.75" customHeight="1">
      <c r="V414" s="85"/>
      <c r="X414" s="85"/>
    </row>
    <row r="415" ht="15.75" customHeight="1">
      <c r="V415" s="85"/>
      <c r="X415" s="85"/>
    </row>
    <row r="416" ht="15.75" customHeight="1">
      <c r="V416" s="85"/>
      <c r="X416" s="85"/>
    </row>
    <row r="417" ht="15.75" customHeight="1">
      <c r="V417" s="85"/>
      <c r="X417" s="85"/>
    </row>
    <row r="418" ht="15.75" customHeight="1">
      <c r="V418" s="85"/>
      <c r="X418" s="85"/>
    </row>
    <row r="419" ht="15.75" customHeight="1">
      <c r="V419" s="85"/>
      <c r="X419" s="85"/>
    </row>
    <row r="420" ht="15.75" customHeight="1">
      <c r="V420" s="85"/>
      <c r="X420" s="85"/>
    </row>
    <row r="421" ht="15.75" customHeight="1">
      <c r="V421" s="85"/>
      <c r="X421" s="85"/>
    </row>
    <row r="422" ht="15.75" customHeight="1">
      <c r="V422" s="85"/>
      <c r="X422" s="85"/>
    </row>
    <row r="423" ht="15.75" customHeight="1">
      <c r="V423" s="85"/>
      <c r="X423" s="85"/>
    </row>
    <row r="424" ht="15.75" customHeight="1">
      <c r="V424" s="85"/>
      <c r="X424" s="85"/>
    </row>
    <row r="425" ht="15.75" customHeight="1">
      <c r="V425" s="85"/>
      <c r="X425" s="85"/>
    </row>
    <row r="426" ht="15.75" customHeight="1">
      <c r="V426" s="85"/>
      <c r="X426" s="85"/>
    </row>
    <row r="427" ht="15.75" customHeight="1">
      <c r="V427" s="85"/>
      <c r="X427" s="85"/>
    </row>
    <row r="428" ht="15.75" customHeight="1">
      <c r="V428" s="85"/>
      <c r="X428" s="85"/>
    </row>
    <row r="429" ht="15.75" customHeight="1">
      <c r="V429" s="85"/>
      <c r="X429" s="85"/>
    </row>
    <row r="430" ht="15.75" customHeight="1">
      <c r="V430" s="85"/>
      <c r="X430" s="85"/>
    </row>
    <row r="431" ht="15.75" customHeight="1">
      <c r="V431" s="85"/>
      <c r="X431" s="85"/>
    </row>
    <row r="432" ht="15.75" customHeight="1">
      <c r="V432" s="85"/>
      <c r="X432" s="85"/>
    </row>
    <row r="433" ht="15.75" customHeight="1">
      <c r="V433" s="85"/>
      <c r="X433" s="85"/>
    </row>
    <row r="434" ht="15.75" customHeight="1">
      <c r="V434" s="85"/>
      <c r="X434" s="85"/>
    </row>
    <row r="435" ht="15.75" customHeight="1">
      <c r="V435" s="85"/>
      <c r="X435" s="85"/>
    </row>
    <row r="436" ht="15.75" customHeight="1">
      <c r="V436" s="85"/>
      <c r="X436" s="85"/>
    </row>
    <row r="437" ht="15.75" customHeight="1">
      <c r="V437" s="85"/>
      <c r="X437" s="85"/>
    </row>
    <row r="438" ht="15.75" customHeight="1">
      <c r="V438" s="85"/>
      <c r="X438" s="85"/>
    </row>
    <row r="439" ht="15.75" customHeight="1">
      <c r="V439" s="85"/>
      <c r="X439" s="85"/>
    </row>
    <row r="440" ht="15.75" customHeight="1">
      <c r="V440" s="85"/>
      <c r="X440" s="85"/>
    </row>
    <row r="441" ht="15.75" customHeight="1">
      <c r="V441" s="85"/>
      <c r="X441" s="85"/>
    </row>
    <row r="442" ht="15.75" customHeight="1">
      <c r="V442" s="85"/>
      <c r="X442" s="85"/>
    </row>
    <row r="443" ht="15.75" customHeight="1">
      <c r="V443" s="85"/>
      <c r="X443" s="85"/>
    </row>
    <row r="444" ht="15.75" customHeight="1">
      <c r="V444" s="85"/>
      <c r="X444" s="85"/>
    </row>
    <row r="445" ht="15.75" customHeight="1">
      <c r="V445" s="85"/>
      <c r="X445" s="85"/>
    </row>
    <row r="446" ht="15.75" customHeight="1">
      <c r="V446" s="85"/>
      <c r="X446" s="85"/>
    </row>
    <row r="447" ht="15.75" customHeight="1">
      <c r="V447" s="85"/>
      <c r="X447" s="85"/>
    </row>
    <row r="448" ht="15.75" customHeight="1">
      <c r="V448" s="85"/>
      <c r="X448" s="85"/>
    </row>
    <row r="449" ht="15.75" customHeight="1">
      <c r="V449" s="85"/>
      <c r="X449" s="85"/>
    </row>
    <row r="450" ht="15.75" customHeight="1">
      <c r="V450" s="85"/>
      <c r="X450" s="85"/>
    </row>
    <row r="451" ht="15.75" customHeight="1">
      <c r="V451" s="85"/>
      <c r="X451" s="85"/>
    </row>
    <row r="452" ht="15.75" customHeight="1">
      <c r="V452" s="85"/>
      <c r="X452" s="85"/>
    </row>
    <row r="453" ht="15.75" customHeight="1">
      <c r="V453" s="85"/>
      <c r="X453" s="85"/>
    </row>
    <row r="454" ht="15.75" customHeight="1">
      <c r="V454" s="85"/>
      <c r="X454" s="85"/>
    </row>
    <row r="455" ht="15.75" customHeight="1">
      <c r="V455" s="85"/>
      <c r="X455" s="85"/>
    </row>
    <row r="456" ht="15.75" customHeight="1">
      <c r="V456" s="85"/>
      <c r="X456" s="85"/>
    </row>
    <row r="457" ht="15.75" customHeight="1">
      <c r="V457" s="85"/>
      <c r="X457" s="85"/>
    </row>
    <row r="458" ht="15.75" customHeight="1">
      <c r="V458" s="85"/>
      <c r="X458" s="85"/>
    </row>
    <row r="459" ht="15.75" customHeight="1">
      <c r="V459" s="85"/>
      <c r="X459" s="85"/>
    </row>
    <row r="460" ht="15.75" customHeight="1">
      <c r="V460" s="85"/>
      <c r="X460" s="85"/>
    </row>
    <row r="461" ht="15.75" customHeight="1">
      <c r="V461" s="85"/>
      <c r="X461" s="85"/>
    </row>
    <row r="462" ht="15.75" customHeight="1">
      <c r="V462" s="85"/>
      <c r="X462" s="85"/>
    </row>
    <row r="463" ht="15.75" customHeight="1">
      <c r="V463" s="85"/>
      <c r="X463" s="85"/>
    </row>
    <row r="464" ht="15.75" customHeight="1">
      <c r="V464" s="85"/>
      <c r="X464" s="85"/>
    </row>
    <row r="465" ht="15.75" customHeight="1">
      <c r="V465" s="85"/>
      <c r="X465" s="85"/>
    </row>
    <row r="466" ht="15.75" customHeight="1">
      <c r="V466" s="85"/>
      <c r="X466" s="85"/>
    </row>
    <row r="467" ht="15.75" customHeight="1">
      <c r="V467" s="85"/>
      <c r="X467" s="85"/>
    </row>
    <row r="468" ht="15.75" customHeight="1">
      <c r="V468" s="85"/>
      <c r="X468" s="85"/>
    </row>
    <row r="469" ht="15.75" customHeight="1">
      <c r="V469" s="85"/>
      <c r="X469" s="85"/>
    </row>
    <row r="470" ht="15.75" customHeight="1">
      <c r="V470" s="85"/>
      <c r="X470" s="85"/>
    </row>
    <row r="471" ht="15.75" customHeight="1">
      <c r="V471" s="85"/>
      <c r="X471" s="85"/>
    </row>
    <row r="472" ht="15.75" customHeight="1">
      <c r="V472" s="85"/>
      <c r="X472" s="85"/>
    </row>
    <row r="473" ht="15.75" customHeight="1">
      <c r="V473" s="85"/>
      <c r="X473" s="85"/>
    </row>
    <row r="474" ht="15.75" customHeight="1">
      <c r="V474" s="85"/>
      <c r="X474" s="85"/>
    </row>
    <row r="475" ht="15.75" customHeight="1">
      <c r="V475" s="85"/>
      <c r="X475" s="85"/>
    </row>
    <row r="476" ht="15.75" customHeight="1">
      <c r="V476" s="85"/>
      <c r="X476" s="85"/>
    </row>
    <row r="477" ht="15.75" customHeight="1">
      <c r="V477" s="85"/>
      <c r="X477" s="85"/>
    </row>
    <row r="478" ht="15.75" customHeight="1">
      <c r="V478" s="85"/>
      <c r="X478" s="85"/>
    </row>
    <row r="479" ht="15.75" customHeight="1">
      <c r="V479" s="85"/>
      <c r="X479" s="85"/>
    </row>
    <row r="480" ht="15.75" customHeight="1">
      <c r="V480" s="85"/>
      <c r="X480" s="85"/>
    </row>
    <row r="481" ht="15.75" customHeight="1">
      <c r="V481" s="85"/>
      <c r="X481" s="85"/>
    </row>
    <row r="482" ht="15.75" customHeight="1">
      <c r="V482" s="85"/>
      <c r="X482" s="85"/>
    </row>
    <row r="483" ht="15.75" customHeight="1">
      <c r="V483" s="85"/>
      <c r="X483" s="85"/>
    </row>
    <row r="484" ht="15.75" customHeight="1">
      <c r="V484" s="85"/>
      <c r="X484" s="85"/>
    </row>
    <row r="485" ht="15.75" customHeight="1">
      <c r="V485" s="85"/>
      <c r="X485" s="85"/>
    </row>
    <row r="486" ht="15.75" customHeight="1">
      <c r="V486" s="85"/>
      <c r="X486" s="85"/>
    </row>
    <row r="487" ht="15.75" customHeight="1">
      <c r="V487" s="85"/>
      <c r="X487" s="85"/>
    </row>
    <row r="488" ht="15.75" customHeight="1">
      <c r="V488" s="85"/>
      <c r="X488" s="85"/>
    </row>
    <row r="489" ht="15.75" customHeight="1">
      <c r="V489" s="85"/>
      <c r="X489" s="85"/>
    </row>
    <row r="490" ht="15.75" customHeight="1">
      <c r="V490" s="85"/>
      <c r="X490" s="85"/>
    </row>
    <row r="491" ht="15.75" customHeight="1">
      <c r="V491" s="85"/>
      <c r="X491" s="85"/>
    </row>
    <row r="492" ht="15.75" customHeight="1">
      <c r="V492" s="85"/>
      <c r="X492" s="85"/>
    </row>
    <row r="493" ht="15.75" customHeight="1">
      <c r="V493" s="85"/>
      <c r="X493" s="85"/>
    </row>
    <row r="494" ht="15.75" customHeight="1">
      <c r="V494" s="85"/>
      <c r="X494" s="85"/>
    </row>
    <row r="495" ht="15.75" customHeight="1">
      <c r="V495" s="85"/>
      <c r="X495" s="85"/>
    </row>
    <row r="496" ht="15.75" customHeight="1">
      <c r="V496" s="85"/>
      <c r="X496" s="85"/>
    </row>
    <row r="497" ht="15.75" customHeight="1">
      <c r="V497" s="85"/>
      <c r="X497" s="85"/>
    </row>
    <row r="498" ht="15.75" customHeight="1">
      <c r="V498" s="85"/>
      <c r="X498" s="85"/>
    </row>
    <row r="499" ht="15.75" customHeight="1">
      <c r="V499" s="85"/>
      <c r="X499" s="85"/>
    </row>
    <row r="500" ht="15.75" customHeight="1">
      <c r="V500" s="85"/>
      <c r="X500" s="85"/>
    </row>
    <row r="501" ht="15.75" customHeight="1">
      <c r="V501" s="85"/>
      <c r="X501" s="85"/>
    </row>
    <row r="502" ht="15.75" customHeight="1">
      <c r="V502" s="85"/>
      <c r="X502" s="85"/>
    </row>
    <row r="503" ht="15.75" customHeight="1">
      <c r="V503" s="85"/>
      <c r="X503" s="85"/>
    </row>
    <row r="504" ht="15.75" customHeight="1">
      <c r="V504" s="85"/>
      <c r="X504" s="85"/>
    </row>
    <row r="505" ht="15.75" customHeight="1">
      <c r="V505" s="85"/>
      <c r="X505" s="85"/>
    </row>
    <row r="506" ht="15.75" customHeight="1">
      <c r="V506" s="85"/>
      <c r="X506" s="85"/>
    </row>
    <row r="507" ht="15.75" customHeight="1">
      <c r="V507" s="85"/>
      <c r="X507" s="85"/>
    </row>
    <row r="508" ht="15.75" customHeight="1">
      <c r="V508" s="85"/>
      <c r="X508" s="85"/>
    </row>
    <row r="509" ht="15.75" customHeight="1">
      <c r="V509" s="85"/>
      <c r="X509" s="85"/>
    </row>
    <row r="510" ht="15.75" customHeight="1">
      <c r="V510" s="85"/>
      <c r="X510" s="85"/>
    </row>
    <row r="511" ht="15.75" customHeight="1">
      <c r="V511" s="85"/>
      <c r="X511" s="85"/>
    </row>
    <row r="512" ht="15.75" customHeight="1">
      <c r="V512" s="85"/>
      <c r="X512" s="85"/>
    </row>
    <row r="513" ht="15.75" customHeight="1">
      <c r="V513" s="85"/>
      <c r="X513" s="85"/>
    </row>
    <row r="514" ht="15.75" customHeight="1">
      <c r="V514" s="85"/>
      <c r="X514" s="85"/>
    </row>
    <row r="515" ht="15.75" customHeight="1">
      <c r="V515" s="85"/>
      <c r="X515" s="85"/>
    </row>
    <row r="516" ht="15.75" customHeight="1">
      <c r="V516" s="85"/>
      <c r="X516" s="85"/>
    </row>
    <row r="517" ht="15.75" customHeight="1">
      <c r="V517" s="85"/>
      <c r="X517" s="85"/>
    </row>
    <row r="518" ht="15.75" customHeight="1">
      <c r="V518" s="85"/>
      <c r="X518" s="85"/>
    </row>
    <row r="519" ht="15.75" customHeight="1">
      <c r="V519" s="85"/>
      <c r="X519" s="85"/>
    </row>
    <row r="520" ht="15.75" customHeight="1">
      <c r="V520" s="85"/>
      <c r="X520" s="85"/>
    </row>
    <row r="521" ht="15.75" customHeight="1">
      <c r="V521" s="85"/>
      <c r="X521" s="85"/>
    </row>
    <row r="522" ht="15.75" customHeight="1">
      <c r="V522" s="85"/>
      <c r="X522" s="85"/>
    </row>
    <row r="523" ht="15.75" customHeight="1">
      <c r="V523" s="85"/>
      <c r="X523" s="85"/>
    </row>
    <row r="524" ht="15.75" customHeight="1">
      <c r="V524" s="85"/>
      <c r="X524" s="85"/>
    </row>
    <row r="525" ht="15.75" customHeight="1">
      <c r="V525" s="85"/>
      <c r="X525" s="85"/>
    </row>
    <row r="526" ht="15.75" customHeight="1">
      <c r="V526" s="85"/>
      <c r="X526" s="85"/>
    </row>
    <row r="527" ht="15.75" customHeight="1">
      <c r="V527" s="85"/>
      <c r="X527" s="85"/>
    </row>
    <row r="528" ht="15.75" customHeight="1">
      <c r="V528" s="85"/>
      <c r="X528" s="85"/>
    </row>
    <row r="529" ht="15.75" customHeight="1">
      <c r="V529" s="85"/>
      <c r="X529" s="85"/>
    </row>
    <row r="530" ht="15.75" customHeight="1">
      <c r="V530" s="85"/>
      <c r="X530" s="85"/>
    </row>
    <row r="531" ht="15.75" customHeight="1">
      <c r="V531" s="85"/>
      <c r="X531" s="85"/>
    </row>
    <row r="532" ht="15.75" customHeight="1">
      <c r="V532" s="85"/>
      <c r="X532" s="85"/>
    </row>
    <row r="533" ht="15.75" customHeight="1">
      <c r="V533" s="85"/>
      <c r="X533" s="85"/>
    </row>
    <row r="534" ht="15.75" customHeight="1">
      <c r="V534" s="85"/>
      <c r="X534" s="85"/>
    </row>
    <row r="535" ht="15.75" customHeight="1">
      <c r="V535" s="85"/>
      <c r="X535" s="85"/>
    </row>
    <row r="536" ht="15.75" customHeight="1">
      <c r="V536" s="85"/>
      <c r="X536" s="85"/>
    </row>
    <row r="537" ht="15.75" customHeight="1">
      <c r="V537" s="85"/>
      <c r="X537" s="85"/>
    </row>
    <row r="538" ht="15.75" customHeight="1">
      <c r="V538" s="85"/>
      <c r="X538" s="85"/>
    </row>
    <row r="539" ht="15.75" customHeight="1">
      <c r="V539" s="85"/>
      <c r="X539" s="85"/>
    </row>
    <row r="540" ht="15.75" customHeight="1">
      <c r="V540" s="85"/>
      <c r="X540" s="85"/>
    </row>
    <row r="541" ht="15.75" customHeight="1">
      <c r="V541" s="85"/>
      <c r="X541" s="85"/>
    </row>
    <row r="542" ht="15.75" customHeight="1">
      <c r="V542" s="85"/>
      <c r="X542" s="85"/>
    </row>
    <row r="543" ht="15.75" customHeight="1">
      <c r="V543" s="85"/>
      <c r="X543" s="85"/>
    </row>
    <row r="544" ht="15.75" customHeight="1">
      <c r="V544" s="85"/>
      <c r="X544" s="85"/>
    </row>
    <row r="545" ht="15.75" customHeight="1">
      <c r="V545" s="85"/>
      <c r="X545" s="85"/>
    </row>
    <row r="546" ht="15.75" customHeight="1">
      <c r="V546" s="85"/>
      <c r="X546" s="85"/>
    </row>
    <row r="547" ht="15.75" customHeight="1">
      <c r="V547" s="85"/>
      <c r="X547" s="85"/>
    </row>
    <row r="548" ht="15.75" customHeight="1">
      <c r="V548" s="85"/>
      <c r="X548" s="85"/>
    </row>
    <row r="549" ht="15.75" customHeight="1">
      <c r="V549" s="85"/>
      <c r="X549" s="85"/>
    </row>
    <row r="550" ht="15.75" customHeight="1">
      <c r="V550" s="85"/>
      <c r="X550" s="85"/>
    </row>
    <row r="551" ht="15.75" customHeight="1">
      <c r="V551" s="85"/>
      <c r="X551" s="85"/>
    </row>
    <row r="552" ht="15.75" customHeight="1">
      <c r="V552" s="85"/>
      <c r="X552" s="85"/>
    </row>
    <row r="553" ht="15.75" customHeight="1">
      <c r="V553" s="85"/>
      <c r="X553" s="85"/>
    </row>
    <row r="554" ht="15.75" customHeight="1">
      <c r="V554" s="85"/>
      <c r="X554" s="85"/>
    </row>
    <row r="555" ht="15.75" customHeight="1">
      <c r="V555" s="85"/>
      <c r="X555" s="85"/>
    </row>
    <row r="556" ht="15.75" customHeight="1">
      <c r="V556" s="85"/>
      <c r="X556" s="85"/>
    </row>
    <row r="557" ht="15.75" customHeight="1">
      <c r="V557" s="85"/>
      <c r="X557" s="85"/>
    </row>
    <row r="558" ht="15.75" customHeight="1">
      <c r="V558" s="85"/>
      <c r="X558" s="85"/>
    </row>
    <row r="559" ht="15.75" customHeight="1">
      <c r="V559" s="85"/>
      <c r="X559" s="85"/>
    </row>
    <row r="560" ht="15.75" customHeight="1">
      <c r="V560" s="85"/>
      <c r="X560" s="85"/>
    </row>
    <row r="561" ht="15.75" customHeight="1">
      <c r="V561" s="85"/>
      <c r="X561" s="85"/>
    </row>
    <row r="562" ht="15.75" customHeight="1">
      <c r="V562" s="85"/>
      <c r="X562" s="85"/>
    </row>
    <row r="563" ht="15.75" customHeight="1">
      <c r="V563" s="85"/>
      <c r="X563" s="85"/>
    </row>
    <row r="564" ht="15.75" customHeight="1">
      <c r="V564" s="85"/>
      <c r="X564" s="85"/>
    </row>
    <row r="565" ht="15.75" customHeight="1">
      <c r="V565" s="85"/>
      <c r="X565" s="85"/>
    </row>
    <row r="566" ht="15.75" customHeight="1">
      <c r="V566" s="85"/>
      <c r="X566" s="85"/>
    </row>
    <row r="567" ht="15.75" customHeight="1">
      <c r="V567" s="85"/>
      <c r="X567" s="85"/>
    </row>
    <row r="568" ht="15.75" customHeight="1">
      <c r="V568" s="85"/>
      <c r="X568" s="85"/>
    </row>
    <row r="569" ht="15.75" customHeight="1">
      <c r="V569" s="85"/>
      <c r="X569" s="85"/>
    </row>
    <row r="570" ht="15.75" customHeight="1">
      <c r="V570" s="85"/>
      <c r="X570" s="85"/>
    </row>
    <row r="571" ht="15.75" customHeight="1">
      <c r="V571" s="85"/>
      <c r="X571" s="85"/>
    </row>
    <row r="572" ht="15.75" customHeight="1">
      <c r="V572" s="85"/>
      <c r="X572" s="85"/>
    </row>
    <row r="573" ht="15.75" customHeight="1">
      <c r="V573" s="85"/>
      <c r="X573" s="85"/>
    </row>
    <row r="574" ht="15.75" customHeight="1">
      <c r="V574" s="85"/>
      <c r="X574" s="85"/>
    </row>
    <row r="575" ht="15.75" customHeight="1">
      <c r="V575" s="85"/>
      <c r="X575" s="85"/>
    </row>
    <row r="576" ht="15.75" customHeight="1">
      <c r="V576" s="85"/>
      <c r="X576" s="85"/>
    </row>
    <row r="577" ht="15.75" customHeight="1">
      <c r="V577" s="85"/>
      <c r="X577" s="85"/>
    </row>
    <row r="578" ht="15.75" customHeight="1">
      <c r="V578" s="85"/>
      <c r="X578" s="85"/>
    </row>
    <row r="579" ht="15.75" customHeight="1">
      <c r="V579" s="85"/>
      <c r="X579" s="85"/>
    </row>
    <row r="580" ht="15.75" customHeight="1">
      <c r="V580" s="85"/>
      <c r="X580" s="85"/>
    </row>
    <row r="581" ht="15.75" customHeight="1">
      <c r="V581" s="85"/>
      <c r="X581" s="85"/>
    </row>
    <row r="582" ht="15.75" customHeight="1">
      <c r="V582" s="85"/>
      <c r="X582" s="85"/>
    </row>
    <row r="583" ht="15.75" customHeight="1">
      <c r="V583" s="85"/>
      <c r="X583" s="85"/>
    </row>
    <row r="584" ht="15.75" customHeight="1">
      <c r="V584" s="85"/>
      <c r="X584" s="85"/>
    </row>
    <row r="585" ht="15.75" customHeight="1">
      <c r="V585" s="85"/>
      <c r="X585" s="85"/>
    </row>
    <row r="586" ht="15.75" customHeight="1">
      <c r="V586" s="85"/>
      <c r="X586" s="85"/>
    </row>
    <row r="587" ht="15.75" customHeight="1">
      <c r="V587" s="85"/>
      <c r="X587" s="85"/>
    </row>
    <row r="588" ht="15.75" customHeight="1">
      <c r="V588" s="85"/>
      <c r="X588" s="85"/>
    </row>
    <row r="589" ht="15.75" customHeight="1">
      <c r="V589" s="85"/>
      <c r="X589" s="85"/>
    </row>
    <row r="590" ht="15.75" customHeight="1">
      <c r="V590" s="85"/>
      <c r="X590" s="85"/>
    </row>
    <row r="591" ht="15.75" customHeight="1">
      <c r="V591" s="85"/>
      <c r="X591" s="85"/>
    </row>
    <row r="592" ht="15.75" customHeight="1">
      <c r="V592" s="85"/>
      <c r="X592" s="85"/>
    </row>
    <row r="593" ht="15.75" customHeight="1">
      <c r="V593" s="85"/>
      <c r="X593" s="85"/>
    </row>
    <row r="594" ht="15.75" customHeight="1">
      <c r="V594" s="85"/>
      <c r="X594" s="85"/>
    </row>
    <row r="595" ht="15.75" customHeight="1">
      <c r="V595" s="85"/>
      <c r="X595" s="85"/>
    </row>
    <row r="596" ht="15.75" customHeight="1">
      <c r="V596" s="85"/>
      <c r="X596" s="85"/>
    </row>
    <row r="597" ht="15.75" customHeight="1">
      <c r="V597" s="85"/>
      <c r="X597" s="85"/>
    </row>
    <row r="598" ht="15.75" customHeight="1">
      <c r="V598" s="85"/>
      <c r="X598" s="85"/>
    </row>
    <row r="599" ht="15.75" customHeight="1">
      <c r="V599" s="85"/>
      <c r="X599" s="85"/>
    </row>
    <row r="600" ht="15.75" customHeight="1">
      <c r="V600" s="85"/>
      <c r="X600" s="85"/>
    </row>
    <row r="601" ht="15.75" customHeight="1">
      <c r="V601" s="85"/>
      <c r="X601" s="85"/>
    </row>
    <row r="602" ht="15.75" customHeight="1">
      <c r="V602" s="85"/>
      <c r="X602" s="85"/>
    </row>
    <row r="603" ht="15.75" customHeight="1">
      <c r="V603" s="85"/>
      <c r="X603" s="85"/>
    </row>
    <row r="604" ht="15.75" customHeight="1">
      <c r="V604" s="85"/>
      <c r="X604" s="85"/>
    </row>
    <row r="605" ht="15.75" customHeight="1">
      <c r="V605" s="85"/>
      <c r="X605" s="85"/>
    </row>
    <row r="606" ht="15.75" customHeight="1">
      <c r="V606" s="85"/>
      <c r="X606" s="85"/>
    </row>
    <row r="607" ht="15.75" customHeight="1">
      <c r="V607" s="85"/>
      <c r="X607" s="85"/>
    </row>
    <row r="608" ht="15.75" customHeight="1">
      <c r="V608" s="85"/>
      <c r="X608" s="85"/>
    </row>
    <row r="609" ht="15.75" customHeight="1">
      <c r="V609" s="85"/>
      <c r="X609" s="85"/>
    </row>
    <row r="610" ht="15.75" customHeight="1">
      <c r="V610" s="85"/>
      <c r="X610" s="85"/>
    </row>
    <row r="611" ht="15.75" customHeight="1">
      <c r="V611" s="85"/>
      <c r="X611" s="85"/>
    </row>
    <row r="612" ht="15.75" customHeight="1">
      <c r="V612" s="85"/>
      <c r="X612" s="85"/>
    </row>
    <row r="613" ht="15.75" customHeight="1">
      <c r="V613" s="85"/>
      <c r="X613" s="85"/>
    </row>
    <row r="614" ht="15.75" customHeight="1">
      <c r="V614" s="85"/>
      <c r="X614" s="85"/>
    </row>
    <row r="615" ht="15.75" customHeight="1">
      <c r="V615" s="85"/>
      <c r="X615" s="85"/>
    </row>
    <row r="616" ht="15.75" customHeight="1">
      <c r="V616" s="85"/>
      <c r="X616" s="85"/>
    </row>
    <row r="617" ht="15.75" customHeight="1">
      <c r="V617" s="85"/>
      <c r="X617" s="85"/>
    </row>
    <row r="618" ht="15.75" customHeight="1">
      <c r="V618" s="85"/>
      <c r="X618" s="85"/>
    </row>
    <row r="619" ht="15.75" customHeight="1">
      <c r="V619" s="85"/>
      <c r="X619" s="85"/>
    </row>
    <row r="620" ht="15.75" customHeight="1">
      <c r="V620" s="85"/>
      <c r="X620" s="85"/>
    </row>
    <row r="621" ht="15.75" customHeight="1">
      <c r="V621" s="85"/>
      <c r="X621" s="85"/>
    </row>
    <row r="622" ht="15.75" customHeight="1">
      <c r="V622" s="85"/>
      <c r="X622" s="85"/>
    </row>
    <row r="623" ht="15.75" customHeight="1">
      <c r="V623" s="85"/>
      <c r="X623" s="85"/>
    </row>
    <row r="624" ht="15.75" customHeight="1">
      <c r="V624" s="85"/>
      <c r="X624" s="85"/>
    </row>
    <row r="625" ht="15.75" customHeight="1">
      <c r="V625" s="85"/>
      <c r="X625" s="85"/>
    </row>
    <row r="626" ht="15.75" customHeight="1">
      <c r="V626" s="85"/>
      <c r="X626" s="85"/>
    </row>
    <row r="627" ht="15.75" customHeight="1">
      <c r="V627" s="85"/>
      <c r="X627" s="85"/>
    </row>
    <row r="628" ht="15.75" customHeight="1">
      <c r="V628" s="85"/>
      <c r="X628" s="85"/>
    </row>
    <row r="629" ht="15.75" customHeight="1">
      <c r="V629" s="85"/>
      <c r="X629" s="85"/>
    </row>
    <row r="630" ht="15.75" customHeight="1">
      <c r="V630" s="85"/>
      <c r="X630" s="85"/>
    </row>
    <row r="631" ht="15.75" customHeight="1">
      <c r="V631" s="85"/>
      <c r="X631" s="85"/>
    </row>
    <row r="632" ht="15.75" customHeight="1">
      <c r="V632" s="85"/>
      <c r="X632" s="85"/>
    </row>
    <row r="633" ht="15.75" customHeight="1">
      <c r="V633" s="85"/>
      <c r="X633" s="85"/>
    </row>
    <row r="634" ht="15.75" customHeight="1">
      <c r="V634" s="85"/>
      <c r="X634" s="85"/>
    </row>
    <row r="635" ht="15.75" customHeight="1">
      <c r="V635" s="85"/>
      <c r="X635" s="85"/>
    </row>
    <row r="636" ht="15.75" customHeight="1">
      <c r="V636" s="85"/>
      <c r="X636" s="85"/>
    </row>
    <row r="637" ht="15.75" customHeight="1">
      <c r="V637" s="85"/>
      <c r="X637" s="85"/>
    </row>
    <row r="638" ht="15.75" customHeight="1">
      <c r="V638" s="85"/>
      <c r="X638" s="85"/>
    </row>
    <row r="639" ht="15.75" customHeight="1">
      <c r="V639" s="85"/>
      <c r="X639" s="85"/>
    </row>
    <row r="640" ht="15.75" customHeight="1">
      <c r="V640" s="85"/>
      <c r="X640" s="85"/>
    </row>
    <row r="641" ht="15.75" customHeight="1">
      <c r="V641" s="85"/>
      <c r="X641" s="85"/>
    </row>
    <row r="642" ht="15.75" customHeight="1">
      <c r="V642" s="85"/>
      <c r="X642" s="85"/>
    </row>
    <row r="643" ht="15.75" customHeight="1">
      <c r="V643" s="85"/>
      <c r="X643" s="85"/>
    </row>
    <row r="644" ht="15.75" customHeight="1">
      <c r="V644" s="85"/>
      <c r="X644" s="85"/>
    </row>
    <row r="645" ht="15.75" customHeight="1">
      <c r="V645" s="85"/>
      <c r="X645" s="85"/>
    </row>
    <row r="646" ht="15.75" customHeight="1">
      <c r="V646" s="85"/>
      <c r="X646" s="85"/>
    </row>
    <row r="647" ht="15.75" customHeight="1">
      <c r="V647" s="85"/>
      <c r="X647" s="85"/>
    </row>
    <row r="648" ht="15.75" customHeight="1">
      <c r="V648" s="85"/>
      <c r="X648" s="85"/>
    </row>
    <row r="649" ht="15.75" customHeight="1">
      <c r="V649" s="85"/>
      <c r="X649" s="85"/>
    </row>
    <row r="650" ht="15.75" customHeight="1">
      <c r="V650" s="85"/>
      <c r="X650" s="85"/>
    </row>
    <row r="651" ht="15.75" customHeight="1">
      <c r="V651" s="85"/>
      <c r="X651" s="85"/>
    </row>
    <row r="652" ht="15.75" customHeight="1">
      <c r="V652" s="85"/>
      <c r="X652" s="85"/>
    </row>
    <row r="653" ht="15.75" customHeight="1">
      <c r="V653" s="85"/>
      <c r="X653" s="85"/>
    </row>
    <row r="654" ht="15.75" customHeight="1">
      <c r="V654" s="85"/>
      <c r="X654" s="85"/>
    </row>
    <row r="655" ht="15.75" customHeight="1">
      <c r="V655" s="85"/>
      <c r="X655" s="85"/>
    </row>
    <row r="656" ht="15.75" customHeight="1">
      <c r="V656" s="85"/>
      <c r="X656" s="85"/>
    </row>
    <row r="657" ht="15.75" customHeight="1">
      <c r="V657" s="85"/>
      <c r="X657" s="85"/>
    </row>
    <row r="658" ht="15.75" customHeight="1">
      <c r="V658" s="85"/>
      <c r="X658" s="85"/>
    </row>
    <row r="659" ht="15.75" customHeight="1">
      <c r="V659" s="85"/>
      <c r="X659" s="85"/>
    </row>
    <row r="660" ht="15.75" customHeight="1">
      <c r="V660" s="85"/>
      <c r="X660" s="85"/>
    </row>
    <row r="661" ht="15.75" customHeight="1">
      <c r="V661" s="85"/>
      <c r="X661" s="85"/>
    </row>
    <row r="662" ht="15.75" customHeight="1">
      <c r="V662" s="85"/>
      <c r="X662" s="85"/>
    </row>
    <row r="663" ht="15.75" customHeight="1">
      <c r="V663" s="85"/>
      <c r="X663" s="85"/>
    </row>
    <row r="664" ht="15.75" customHeight="1">
      <c r="V664" s="85"/>
      <c r="X664" s="85"/>
    </row>
    <row r="665" ht="15.75" customHeight="1">
      <c r="V665" s="85"/>
      <c r="X665" s="85"/>
    </row>
    <row r="666" ht="15.75" customHeight="1">
      <c r="V666" s="85"/>
      <c r="X666" s="85"/>
    </row>
    <row r="667" ht="15.75" customHeight="1">
      <c r="V667" s="85"/>
      <c r="X667" s="85"/>
    </row>
    <row r="668" ht="15.75" customHeight="1">
      <c r="V668" s="85"/>
      <c r="X668" s="85"/>
    </row>
    <row r="669" ht="15.75" customHeight="1">
      <c r="V669" s="85"/>
      <c r="X669" s="85"/>
    </row>
    <row r="670" ht="15.75" customHeight="1">
      <c r="V670" s="85"/>
      <c r="X670" s="85"/>
    </row>
    <row r="671" ht="15.75" customHeight="1">
      <c r="V671" s="85"/>
      <c r="X671" s="85"/>
    </row>
    <row r="672" ht="15.75" customHeight="1">
      <c r="V672" s="85"/>
      <c r="X672" s="85"/>
    </row>
    <row r="673" ht="15.75" customHeight="1">
      <c r="V673" s="85"/>
      <c r="X673" s="85"/>
    </row>
    <row r="674" ht="15.75" customHeight="1">
      <c r="V674" s="85"/>
      <c r="X674" s="85"/>
    </row>
    <row r="675" ht="15.75" customHeight="1">
      <c r="V675" s="85"/>
      <c r="X675" s="85"/>
    </row>
    <row r="676" ht="15.75" customHeight="1">
      <c r="V676" s="85"/>
      <c r="X676" s="85"/>
    </row>
    <row r="677" ht="15.75" customHeight="1">
      <c r="V677" s="85"/>
      <c r="X677" s="85"/>
    </row>
    <row r="678" ht="15.75" customHeight="1">
      <c r="V678" s="85"/>
      <c r="X678" s="85"/>
    </row>
    <row r="679" ht="15.75" customHeight="1">
      <c r="V679" s="85"/>
      <c r="X679" s="85"/>
    </row>
    <row r="680" ht="15.75" customHeight="1">
      <c r="V680" s="85"/>
      <c r="X680" s="85"/>
    </row>
    <row r="681" ht="15.75" customHeight="1">
      <c r="V681" s="85"/>
      <c r="X681" s="85"/>
    </row>
    <row r="682" ht="15.75" customHeight="1">
      <c r="V682" s="85"/>
      <c r="X682" s="85"/>
    </row>
    <row r="683" ht="15.75" customHeight="1">
      <c r="V683" s="85"/>
      <c r="X683" s="85"/>
    </row>
    <row r="684" ht="15.75" customHeight="1">
      <c r="V684" s="85"/>
      <c r="X684" s="85"/>
    </row>
    <row r="685" ht="15.75" customHeight="1">
      <c r="V685" s="85"/>
      <c r="X685" s="85"/>
    </row>
    <row r="686" ht="15.75" customHeight="1">
      <c r="V686" s="85"/>
      <c r="X686" s="85"/>
    </row>
    <row r="687" ht="15.75" customHeight="1">
      <c r="V687" s="85"/>
      <c r="X687" s="85"/>
    </row>
    <row r="688" ht="15.75" customHeight="1">
      <c r="V688" s="85"/>
      <c r="X688" s="85"/>
    </row>
    <row r="689" ht="15.75" customHeight="1">
      <c r="V689" s="85"/>
      <c r="X689" s="85"/>
    </row>
    <row r="690" ht="15.75" customHeight="1">
      <c r="V690" s="85"/>
      <c r="X690" s="85"/>
    </row>
    <row r="691" ht="15.75" customHeight="1">
      <c r="V691" s="85"/>
      <c r="X691" s="85"/>
    </row>
    <row r="692" ht="15.75" customHeight="1">
      <c r="V692" s="85"/>
      <c r="X692" s="85"/>
    </row>
    <row r="693" ht="15.75" customHeight="1">
      <c r="V693" s="85"/>
      <c r="X693" s="85"/>
    </row>
    <row r="694" ht="15.75" customHeight="1">
      <c r="V694" s="85"/>
      <c r="X694" s="85"/>
    </row>
    <row r="695" ht="15.75" customHeight="1">
      <c r="V695" s="85"/>
      <c r="X695" s="85"/>
    </row>
    <row r="696" ht="15.75" customHeight="1">
      <c r="V696" s="85"/>
      <c r="X696" s="85"/>
    </row>
    <row r="697" ht="15.75" customHeight="1">
      <c r="V697" s="85"/>
      <c r="X697" s="85"/>
    </row>
    <row r="698" ht="15.75" customHeight="1">
      <c r="V698" s="85"/>
      <c r="X698" s="85"/>
    </row>
    <row r="699" ht="15.75" customHeight="1">
      <c r="V699" s="85"/>
      <c r="X699" s="85"/>
    </row>
    <row r="700" ht="15.75" customHeight="1">
      <c r="V700" s="85"/>
      <c r="X700" s="85"/>
    </row>
    <row r="701" ht="15.75" customHeight="1">
      <c r="V701" s="85"/>
      <c r="X701" s="85"/>
    </row>
    <row r="702" ht="15.75" customHeight="1">
      <c r="V702" s="85"/>
      <c r="X702" s="85"/>
    </row>
    <row r="703" ht="15.75" customHeight="1">
      <c r="V703" s="85"/>
      <c r="X703" s="85"/>
    </row>
    <row r="704" ht="15.75" customHeight="1">
      <c r="V704" s="85"/>
      <c r="X704" s="85"/>
    </row>
    <row r="705" ht="15.75" customHeight="1">
      <c r="V705" s="85"/>
      <c r="X705" s="85"/>
    </row>
    <row r="706" ht="15.75" customHeight="1">
      <c r="V706" s="85"/>
      <c r="X706" s="85"/>
    </row>
    <row r="707" ht="15.75" customHeight="1">
      <c r="V707" s="85"/>
      <c r="X707" s="85"/>
    </row>
    <row r="708" ht="15.75" customHeight="1">
      <c r="V708" s="85"/>
      <c r="X708" s="85"/>
    </row>
    <row r="709" ht="15.75" customHeight="1">
      <c r="V709" s="85"/>
      <c r="X709" s="85"/>
    </row>
    <row r="710" ht="15.75" customHeight="1">
      <c r="V710" s="85"/>
      <c r="X710" s="85"/>
    </row>
    <row r="711" ht="15.75" customHeight="1">
      <c r="V711" s="85"/>
      <c r="X711" s="85"/>
    </row>
    <row r="712" ht="15.75" customHeight="1">
      <c r="V712" s="85"/>
      <c r="X712" s="85"/>
    </row>
    <row r="713" ht="15.75" customHeight="1">
      <c r="V713" s="85"/>
      <c r="X713" s="85"/>
    </row>
    <row r="714" ht="15.75" customHeight="1">
      <c r="V714" s="85"/>
      <c r="X714" s="85"/>
    </row>
    <row r="715" ht="15.75" customHeight="1">
      <c r="V715" s="85"/>
      <c r="X715" s="85"/>
    </row>
    <row r="716" ht="15.75" customHeight="1">
      <c r="V716" s="85"/>
      <c r="X716" s="85"/>
    </row>
    <row r="717" ht="15.75" customHeight="1">
      <c r="V717" s="85"/>
      <c r="X717" s="85"/>
    </row>
    <row r="718" ht="15.75" customHeight="1">
      <c r="V718" s="85"/>
      <c r="X718" s="85"/>
    </row>
    <row r="719" ht="15.75" customHeight="1">
      <c r="V719" s="85"/>
      <c r="X719" s="85"/>
    </row>
    <row r="720" ht="15.75" customHeight="1">
      <c r="V720" s="85"/>
      <c r="X720" s="85"/>
    </row>
    <row r="721" ht="15.75" customHeight="1">
      <c r="V721" s="85"/>
      <c r="X721" s="85"/>
    </row>
    <row r="722" ht="15.75" customHeight="1">
      <c r="V722" s="85"/>
      <c r="X722" s="85"/>
    </row>
    <row r="723" ht="15.75" customHeight="1">
      <c r="V723" s="85"/>
      <c r="X723" s="85"/>
    </row>
    <row r="724" ht="15.75" customHeight="1">
      <c r="V724" s="85"/>
      <c r="X724" s="85"/>
    </row>
    <row r="725" ht="15.75" customHeight="1">
      <c r="V725" s="85"/>
      <c r="X725" s="85"/>
    </row>
    <row r="726" ht="15.75" customHeight="1">
      <c r="V726" s="85"/>
      <c r="X726" s="85"/>
    </row>
    <row r="727" ht="15.75" customHeight="1">
      <c r="V727" s="85"/>
      <c r="X727" s="85"/>
    </row>
    <row r="728" ht="15.75" customHeight="1">
      <c r="V728" s="85"/>
      <c r="X728" s="85"/>
    </row>
    <row r="729" ht="15.75" customHeight="1">
      <c r="V729" s="85"/>
      <c r="X729" s="85"/>
    </row>
    <row r="730" ht="15.75" customHeight="1">
      <c r="V730" s="85"/>
      <c r="X730" s="85"/>
    </row>
    <row r="731" ht="15.75" customHeight="1">
      <c r="V731" s="85"/>
      <c r="X731" s="85"/>
    </row>
    <row r="732" ht="15.75" customHeight="1">
      <c r="V732" s="85"/>
      <c r="X732" s="85"/>
    </row>
    <row r="733" ht="15.75" customHeight="1">
      <c r="V733" s="85"/>
      <c r="X733" s="85"/>
    </row>
    <row r="734" ht="15.75" customHeight="1">
      <c r="V734" s="85"/>
      <c r="X734" s="85"/>
    </row>
    <row r="735" ht="15.75" customHeight="1">
      <c r="V735" s="85"/>
      <c r="X735" s="85"/>
    </row>
    <row r="736" ht="15.75" customHeight="1">
      <c r="V736" s="85"/>
      <c r="X736" s="85"/>
    </row>
    <row r="737" ht="15.75" customHeight="1">
      <c r="V737" s="85"/>
      <c r="X737" s="85"/>
    </row>
    <row r="738" ht="15.75" customHeight="1">
      <c r="V738" s="85"/>
      <c r="X738" s="85"/>
    </row>
    <row r="739" ht="15.75" customHeight="1">
      <c r="V739" s="85"/>
      <c r="X739" s="85"/>
    </row>
    <row r="740" ht="15.75" customHeight="1">
      <c r="V740" s="85"/>
      <c r="X740" s="85"/>
    </row>
    <row r="741" ht="15.75" customHeight="1">
      <c r="V741" s="85"/>
      <c r="X741" s="85"/>
    </row>
    <row r="742" ht="15.75" customHeight="1">
      <c r="V742" s="85"/>
      <c r="X742" s="85"/>
    </row>
    <row r="743" ht="15.75" customHeight="1">
      <c r="V743" s="85"/>
      <c r="X743" s="85"/>
    </row>
    <row r="744" ht="15.75" customHeight="1">
      <c r="V744" s="85"/>
      <c r="X744" s="85"/>
    </row>
    <row r="745" ht="15.75" customHeight="1">
      <c r="V745" s="85"/>
      <c r="X745" s="85"/>
    </row>
    <row r="746" ht="15.75" customHeight="1">
      <c r="V746" s="85"/>
      <c r="X746" s="85"/>
    </row>
    <row r="747" ht="15.75" customHeight="1">
      <c r="V747" s="85"/>
      <c r="X747" s="85"/>
    </row>
    <row r="748" ht="15.75" customHeight="1">
      <c r="V748" s="85"/>
      <c r="X748" s="85"/>
    </row>
    <row r="749" ht="15.75" customHeight="1">
      <c r="V749" s="85"/>
      <c r="X749" s="85"/>
    </row>
    <row r="750" ht="15.75" customHeight="1">
      <c r="V750" s="85"/>
      <c r="X750" s="85"/>
    </row>
    <row r="751" ht="15.75" customHeight="1">
      <c r="V751" s="85"/>
      <c r="X751" s="85"/>
    </row>
    <row r="752" ht="15.75" customHeight="1">
      <c r="V752" s="85"/>
      <c r="X752" s="85"/>
    </row>
    <row r="753" ht="15.75" customHeight="1">
      <c r="V753" s="85"/>
      <c r="X753" s="85"/>
    </row>
    <row r="754" ht="15.75" customHeight="1">
      <c r="V754" s="85"/>
      <c r="X754" s="85"/>
    </row>
    <row r="755" ht="15.75" customHeight="1">
      <c r="V755" s="85"/>
      <c r="X755" s="85"/>
    </row>
    <row r="756" ht="15.75" customHeight="1">
      <c r="V756" s="85"/>
      <c r="X756" s="85"/>
    </row>
    <row r="757" ht="15.75" customHeight="1">
      <c r="V757" s="85"/>
      <c r="X757" s="85"/>
    </row>
    <row r="758" ht="15.75" customHeight="1">
      <c r="V758" s="85"/>
      <c r="X758" s="85"/>
    </row>
    <row r="759" ht="15.75" customHeight="1">
      <c r="V759" s="85"/>
      <c r="X759" s="85"/>
    </row>
    <row r="760" ht="15.75" customHeight="1">
      <c r="V760" s="85"/>
      <c r="X760" s="85"/>
    </row>
    <row r="761" ht="15.75" customHeight="1">
      <c r="V761" s="85"/>
      <c r="X761" s="85"/>
    </row>
    <row r="762" ht="15.75" customHeight="1">
      <c r="V762" s="85"/>
      <c r="X762" s="85"/>
    </row>
    <row r="763" ht="15.75" customHeight="1">
      <c r="V763" s="85"/>
      <c r="X763" s="85"/>
    </row>
    <row r="764" ht="15.75" customHeight="1">
      <c r="V764" s="85"/>
      <c r="X764" s="85"/>
    </row>
    <row r="765" ht="15.75" customHeight="1">
      <c r="V765" s="85"/>
      <c r="X765" s="85"/>
    </row>
    <row r="766" ht="15.75" customHeight="1">
      <c r="V766" s="85"/>
      <c r="X766" s="85"/>
    </row>
    <row r="767" ht="15.75" customHeight="1">
      <c r="V767" s="85"/>
      <c r="X767" s="85"/>
    </row>
    <row r="768" ht="15.75" customHeight="1">
      <c r="V768" s="85"/>
      <c r="X768" s="85"/>
    </row>
    <row r="769" ht="15.75" customHeight="1">
      <c r="V769" s="85"/>
      <c r="X769" s="85"/>
    </row>
    <row r="770" ht="15.75" customHeight="1">
      <c r="V770" s="85"/>
      <c r="X770" s="85"/>
    </row>
    <row r="771" ht="15.75" customHeight="1">
      <c r="V771" s="85"/>
      <c r="X771" s="85"/>
    </row>
    <row r="772" ht="15.75" customHeight="1">
      <c r="V772" s="85"/>
      <c r="X772" s="85"/>
    </row>
    <row r="773" ht="15.75" customHeight="1">
      <c r="V773" s="85"/>
      <c r="X773" s="85"/>
    </row>
    <row r="774" ht="15.75" customHeight="1">
      <c r="V774" s="85"/>
      <c r="X774" s="85"/>
    </row>
    <row r="775" ht="15.75" customHeight="1">
      <c r="V775" s="85"/>
      <c r="X775" s="85"/>
    </row>
    <row r="776" ht="15.75" customHeight="1">
      <c r="V776" s="85"/>
      <c r="X776" s="85"/>
    </row>
    <row r="777" ht="15.75" customHeight="1">
      <c r="V777" s="85"/>
      <c r="X777" s="85"/>
    </row>
    <row r="778" ht="15.75" customHeight="1">
      <c r="V778" s="85"/>
      <c r="X778" s="85"/>
    </row>
    <row r="779" ht="15.75" customHeight="1">
      <c r="V779" s="85"/>
      <c r="X779" s="85"/>
    </row>
    <row r="780" ht="15.75" customHeight="1">
      <c r="V780" s="85"/>
      <c r="X780" s="85"/>
    </row>
    <row r="781" ht="15.75" customHeight="1">
      <c r="V781" s="85"/>
      <c r="X781" s="85"/>
    </row>
    <row r="782" ht="15.75" customHeight="1">
      <c r="V782" s="85"/>
      <c r="X782" s="85"/>
    </row>
    <row r="783" ht="15.75" customHeight="1">
      <c r="V783" s="85"/>
      <c r="X783" s="85"/>
    </row>
    <row r="784" ht="15.75" customHeight="1">
      <c r="V784" s="85"/>
      <c r="X784" s="85"/>
    </row>
    <row r="785" ht="15.75" customHeight="1">
      <c r="V785" s="85"/>
      <c r="X785" s="85"/>
    </row>
    <row r="786" ht="15.75" customHeight="1">
      <c r="V786" s="85"/>
      <c r="X786" s="85"/>
    </row>
    <row r="787" ht="15.75" customHeight="1">
      <c r="V787" s="85"/>
      <c r="X787" s="85"/>
    </row>
    <row r="788" ht="15.75" customHeight="1">
      <c r="V788" s="85"/>
      <c r="X788" s="85"/>
    </row>
    <row r="789" ht="15.75" customHeight="1">
      <c r="V789" s="85"/>
      <c r="X789" s="85"/>
    </row>
    <row r="790" ht="15.75" customHeight="1">
      <c r="V790" s="85"/>
      <c r="X790" s="85"/>
    </row>
    <row r="791" ht="15.75" customHeight="1">
      <c r="V791" s="85"/>
      <c r="X791" s="85"/>
    </row>
    <row r="792" ht="15.75" customHeight="1">
      <c r="V792" s="85"/>
      <c r="X792" s="85"/>
    </row>
    <row r="793" ht="15.75" customHeight="1">
      <c r="V793" s="85"/>
      <c r="X793" s="85"/>
    </row>
    <row r="794" ht="15.75" customHeight="1">
      <c r="V794" s="85"/>
      <c r="X794" s="85"/>
    </row>
    <row r="795" ht="15.75" customHeight="1">
      <c r="V795" s="85"/>
      <c r="X795" s="85"/>
    </row>
    <row r="796" ht="15.75" customHeight="1">
      <c r="V796" s="85"/>
      <c r="X796" s="85"/>
    </row>
    <row r="797" ht="15.75" customHeight="1">
      <c r="V797" s="85"/>
      <c r="X797" s="85"/>
    </row>
    <row r="798" ht="15.75" customHeight="1">
      <c r="V798" s="85"/>
      <c r="X798" s="85"/>
    </row>
    <row r="799" ht="15.75" customHeight="1">
      <c r="V799" s="85"/>
      <c r="X799" s="85"/>
    </row>
    <row r="800" ht="15.75" customHeight="1">
      <c r="V800" s="85"/>
      <c r="X800" s="85"/>
    </row>
    <row r="801" ht="15.75" customHeight="1">
      <c r="V801" s="85"/>
      <c r="X801" s="85"/>
    </row>
    <row r="802" ht="15.75" customHeight="1">
      <c r="V802" s="85"/>
      <c r="X802" s="85"/>
    </row>
    <row r="803" ht="15.75" customHeight="1">
      <c r="V803" s="85"/>
      <c r="X803" s="85"/>
    </row>
    <row r="804" ht="15.75" customHeight="1">
      <c r="V804" s="85"/>
      <c r="X804" s="85"/>
    </row>
    <row r="805" ht="15.75" customHeight="1">
      <c r="V805" s="85"/>
      <c r="X805" s="85"/>
    </row>
    <row r="806" ht="15.75" customHeight="1">
      <c r="V806" s="85"/>
      <c r="X806" s="85"/>
    </row>
    <row r="807" ht="15.75" customHeight="1">
      <c r="V807" s="85"/>
      <c r="X807" s="85"/>
    </row>
    <row r="808" ht="15.75" customHeight="1">
      <c r="V808" s="85"/>
      <c r="X808" s="85"/>
    </row>
    <row r="809" ht="15.75" customHeight="1">
      <c r="V809" s="85"/>
      <c r="X809" s="85"/>
    </row>
    <row r="810" ht="15.75" customHeight="1">
      <c r="V810" s="85"/>
      <c r="X810" s="85"/>
    </row>
    <row r="811" ht="15.75" customHeight="1">
      <c r="V811" s="85"/>
      <c r="X811" s="85"/>
    </row>
    <row r="812" ht="15.75" customHeight="1">
      <c r="V812" s="85"/>
      <c r="X812" s="85"/>
    </row>
    <row r="813" ht="15.75" customHeight="1">
      <c r="V813" s="85"/>
      <c r="X813" s="85"/>
    </row>
    <row r="814" ht="15.75" customHeight="1">
      <c r="V814" s="85"/>
      <c r="X814" s="85"/>
    </row>
    <row r="815" ht="15.75" customHeight="1">
      <c r="V815" s="85"/>
      <c r="X815" s="85"/>
    </row>
    <row r="816" ht="15.75" customHeight="1">
      <c r="V816" s="85"/>
      <c r="X816" s="85"/>
    </row>
    <row r="817" ht="15.75" customHeight="1">
      <c r="V817" s="85"/>
      <c r="X817" s="85"/>
    </row>
    <row r="818" ht="15.75" customHeight="1">
      <c r="V818" s="85"/>
      <c r="X818" s="85"/>
    </row>
    <row r="819" ht="15.75" customHeight="1">
      <c r="V819" s="85"/>
      <c r="X819" s="85"/>
    </row>
    <row r="820" ht="15.75" customHeight="1">
      <c r="V820" s="85"/>
      <c r="X820" s="85"/>
    </row>
    <row r="821" ht="15.75" customHeight="1">
      <c r="V821" s="85"/>
      <c r="X821" s="85"/>
    </row>
    <row r="822" ht="15.75" customHeight="1">
      <c r="V822" s="85"/>
      <c r="X822" s="85"/>
    </row>
    <row r="823" ht="15.75" customHeight="1">
      <c r="V823" s="85"/>
      <c r="X823" s="85"/>
    </row>
    <row r="824" ht="15.75" customHeight="1">
      <c r="V824" s="85"/>
      <c r="X824" s="85"/>
    </row>
    <row r="825" ht="15.75" customHeight="1">
      <c r="V825" s="85"/>
      <c r="X825" s="85"/>
    </row>
    <row r="826" ht="15.75" customHeight="1">
      <c r="V826" s="85"/>
      <c r="X826" s="85"/>
    </row>
    <row r="827" ht="15.75" customHeight="1">
      <c r="V827" s="85"/>
      <c r="X827" s="85"/>
    </row>
    <row r="828" ht="15.75" customHeight="1">
      <c r="V828" s="85"/>
      <c r="X828" s="85"/>
    </row>
    <row r="829" ht="15.75" customHeight="1">
      <c r="V829" s="85"/>
      <c r="X829" s="85"/>
    </row>
    <row r="830" ht="15.75" customHeight="1">
      <c r="V830" s="85"/>
      <c r="X830" s="85"/>
    </row>
    <row r="831" ht="15.75" customHeight="1">
      <c r="V831" s="85"/>
      <c r="X831" s="85"/>
    </row>
    <row r="832" ht="15.75" customHeight="1">
      <c r="V832" s="85"/>
      <c r="X832" s="85"/>
    </row>
    <row r="833" ht="15.75" customHeight="1">
      <c r="V833" s="85"/>
      <c r="X833" s="85"/>
    </row>
    <row r="834" ht="15.75" customHeight="1">
      <c r="V834" s="85"/>
      <c r="X834" s="85"/>
    </row>
    <row r="835" ht="15.75" customHeight="1">
      <c r="V835" s="85"/>
      <c r="X835" s="85"/>
    </row>
    <row r="836" ht="15.75" customHeight="1">
      <c r="V836" s="85"/>
      <c r="X836" s="85"/>
    </row>
    <row r="837" ht="15.75" customHeight="1">
      <c r="V837" s="85"/>
      <c r="X837" s="85"/>
    </row>
    <row r="838" ht="15.75" customHeight="1">
      <c r="V838" s="85"/>
      <c r="X838" s="85"/>
    </row>
    <row r="839" ht="15.75" customHeight="1">
      <c r="V839" s="85"/>
      <c r="X839" s="85"/>
    </row>
    <row r="840" ht="15.75" customHeight="1">
      <c r="V840" s="85"/>
      <c r="X840" s="85"/>
    </row>
    <row r="841" ht="15.75" customHeight="1">
      <c r="V841" s="85"/>
      <c r="X841" s="85"/>
    </row>
    <row r="842" ht="15.75" customHeight="1">
      <c r="V842" s="85"/>
      <c r="X842" s="85"/>
    </row>
    <row r="843" ht="15.75" customHeight="1">
      <c r="V843" s="85"/>
      <c r="X843" s="85"/>
    </row>
    <row r="844" ht="15.75" customHeight="1">
      <c r="V844" s="85"/>
      <c r="X844" s="85"/>
    </row>
    <row r="845" ht="15.75" customHeight="1">
      <c r="V845" s="85"/>
      <c r="X845" s="85"/>
    </row>
    <row r="846" ht="15.75" customHeight="1">
      <c r="V846" s="85"/>
      <c r="X846" s="85"/>
    </row>
    <row r="847" ht="15.75" customHeight="1">
      <c r="V847" s="85"/>
      <c r="X847" s="85"/>
    </row>
    <row r="848" ht="15.75" customHeight="1">
      <c r="V848" s="85"/>
      <c r="X848" s="85"/>
    </row>
    <row r="849" ht="15.75" customHeight="1">
      <c r="V849" s="85"/>
      <c r="X849" s="85"/>
    </row>
    <row r="850" ht="15.75" customHeight="1">
      <c r="V850" s="85"/>
      <c r="X850" s="85"/>
    </row>
    <row r="851" ht="15.75" customHeight="1">
      <c r="V851" s="85"/>
      <c r="X851" s="85"/>
    </row>
    <row r="852" ht="15.75" customHeight="1">
      <c r="V852" s="85"/>
      <c r="X852" s="85"/>
    </row>
    <row r="853" ht="15.75" customHeight="1">
      <c r="V853" s="85"/>
      <c r="X853" s="85"/>
    </row>
    <row r="854" ht="15.75" customHeight="1">
      <c r="V854" s="85"/>
      <c r="X854" s="85"/>
    </row>
    <row r="855" ht="15.75" customHeight="1">
      <c r="V855" s="85"/>
      <c r="X855" s="85"/>
    </row>
    <row r="856" ht="15.75" customHeight="1">
      <c r="V856" s="85"/>
      <c r="X856" s="85"/>
    </row>
    <row r="857" ht="15.75" customHeight="1">
      <c r="V857" s="85"/>
      <c r="X857" s="85"/>
    </row>
    <row r="858" ht="15.75" customHeight="1">
      <c r="V858" s="85"/>
      <c r="X858" s="85"/>
    </row>
    <row r="859" ht="15.75" customHeight="1">
      <c r="V859" s="85"/>
      <c r="X859" s="85"/>
    </row>
    <row r="860" ht="15.75" customHeight="1">
      <c r="V860" s="85"/>
      <c r="X860" s="85"/>
    </row>
    <row r="861" ht="15.75" customHeight="1">
      <c r="V861" s="85"/>
      <c r="X861" s="85"/>
    </row>
    <row r="862" ht="15.75" customHeight="1">
      <c r="V862" s="85"/>
      <c r="X862" s="85"/>
    </row>
    <row r="863" ht="15.75" customHeight="1">
      <c r="V863" s="85"/>
      <c r="X863" s="85"/>
    </row>
    <row r="864" ht="15.75" customHeight="1">
      <c r="V864" s="85"/>
      <c r="X864" s="85"/>
    </row>
    <row r="865" ht="15.75" customHeight="1">
      <c r="V865" s="85"/>
      <c r="X865" s="85"/>
    </row>
    <row r="866" ht="15.75" customHeight="1">
      <c r="V866" s="85"/>
      <c r="X866" s="85"/>
    </row>
    <row r="867" ht="15.75" customHeight="1">
      <c r="V867" s="85"/>
      <c r="X867" s="85"/>
    </row>
    <row r="868" ht="15.75" customHeight="1">
      <c r="V868" s="85"/>
      <c r="X868" s="85"/>
    </row>
    <row r="869" ht="15.75" customHeight="1">
      <c r="V869" s="85"/>
      <c r="X869" s="85"/>
    </row>
    <row r="870" ht="15.75" customHeight="1">
      <c r="V870" s="85"/>
      <c r="X870" s="85"/>
    </row>
    <row r="871" ht="15.75" customHeight="1">
      <c r="V871" s="85"/>
      <c r="X871" s="85"/>
    </row>
    <row r="872" ht="15.75" customHeight="1">
      <c r="V872" s="85"/>
      <c r="X872" s="85"/>
    </row>
    <row r="873" ht="15.75" customHeight="1">
      <c r="V873" s="85"/>
      <c r="X873" s="85"/>
    </row>
    <row r="874" ht="15.75" customHeight="1">
      <c r="V874" s="85"/>
      <c r="X874" s="85"/>
    </row>
    <row r="875" ht="15.75" customHeight="1">
      <c r="V875" s="85"/>
      <c r="X875" s="85"/>
    </row>
    <row r="876" ht="15.75" customHeight="1">
      <c r="V876" s="85"/>
      <c r="X876" s="85"/>
    </row>
    <row r="877" ht="15.75" customHeight="1">
      <c r="V877" s="85"/>
      <c r="X877" s="85"/>
    </row>
    <row r="878" ht="15.75" customHeight="1">
      <c r="V878" s="85"/>
      <c r="X878" s="85"/>
    </row>
    <row r="879" ht="15.75" customHeight="1">
      <c r="V879" s="85"/>
      <c r="X879" s="85"/>
    </row>
    <row r="880" ht="15.75" customHeight="1">
      <c r="V880" s="85"/>
      <c r="X880" s="85"/>
    </row>
    <row r="881" ht="15.75" customHeight="1">
      <c r="V881" s="85"/>
      <c r="X881" s="85"/>
    </row>
    <row r="882" ht="15.75" customHeight="1">
      <c r="V882" s="85"/>
      <c r="X882" s="85"/>
    </row>
    <row r="883" ht="15.75" customHeight="1">
      <c r="V883" s="85"/>
      <c r="X883" s="85"/>
    </row>
    <row r="884" ht="15.75" customHeight="1">
      <c r="V884" s="85"/>
      <c r="X884" s="85"/>
    </row>
    <row r="885" ht="15.75" customHeight="1">
      <c r="V885" s="85"/>
      <c r="X885" s="85"/>
    </row>
    <row r="886" ht="15.75" customHeight="1">
      <c r="V886" s="85"/>
      <c r="X886" s="85"/>
    </row>
    <row r="887" ht="15.75" customHeight="1">
      <c r="V887" s="85"/>
      <c r="X887" s="85"/>
    </row>
    <row r="888" ht="15.75" customHeight="1">
      <c r="V888" s="85"/>
      <c r="X888" s="85"/>
    </row>
    <row r="889" ht="15.75" customHeight="1">
      <c r="V889" s="85"/>
      <c r="X889" s="85"/>
    </row>
    <row r="890" ht="15.75" customHeight="1">
      <c r="V890" s="85"/>
      <c r="X890" s="85"/>
    </row>
    <row r="891" ht="15.75" customHeight="1">
      <c r="V891" s="85"/>
      <c r="X891" s="85"/>
    </row>
    <row r="892" ht="15.75" customHeight="1">
      <c r="V892" s="85"/>
      <c r="X892" s="85"/>
    </row>
    <row r="893" ht="15.75" customHeight="1">
      <c r="V893" s="85"/>
      <c r="X893" s="85"/>
    </row>
    <row r="894" ht="15.75" customHeight="1">
      <c r="V894" s="85"/>
      <c r="X894" s="85"/>
    </row>
    <row r="895" ht="15.75" customHeight="1">
      <c r="V895" s="85"/>
      <c r="X895" s="85"/>
    </row>
    <row r="896" ht="15.75" customHeight="1">
      <c r="V896" s="85"/>
      <c r="X896" s="85"/>
    </row>
    <row r="897" ht="15.75" customHeight="1">
      <c r="V897" s="85"/>
      <c r="X897" s="85"/>
    </row>
    <row r="898" ht="15.75" customHeight="1">
      <c r="V898" s="85"/>
      <c r="X898" s="85"/>
    </row>
    <row r="899" ht="15.75" customHeight="1">
      <c r="V899" s="85"/>
      <c r="X899" s="85"/>
    </row>
    <row r="900" ht="15.75" customHeight="1">
      <c r="V900" s="85"/>
      <c r="X900" s="85"/>
    </row>
    <row r="901" ht="15.75" customHeight="1">
      <c r="V901" s="85"/>
      <c r="X901" s="85"/>
    </row>
    <row r="902" ht="15.75" customHeight="1">
      <c r="V902" s="85"/>
      <c r="X902" s="85"/>
    </row>
    <row r="903" ht="15.75" customHeight="1">
      <c r="V903" s="85"/>
      <c r="X903" s="85"/>
    </row>
    <row r="904" ht="15.75" customHeight="1">
      <c r="V904" s="85"/>
      <c r="X904" s="85"/>
    </row>
    <row r="905" ht="15.75" customHeight="1">
      <c r="V905" s="85"/>
      <c r="X905" s="85"/>
    </row>
    <row r="906" ht="15.75" customHeight="1">
      <c r="V906" s="85"/>
      <c r="X906" s="85"/>
    </row>
    <row r="907" ht="15.75" customHeight="1">
      <c r="V907" s="85"/>
      <c r="X907" s="85"/>
    </row>
    <row r="908" ht="15.75" customHeight="1">
      <c r="V908" s="85"/>
      <c r="X908" s="85"/>
    </row>
    <row r="909" ht="15.75" customHeight="1">
      <c r="V909" s="85"/>
      <c r="X909" s="85"/>
    </row>
    <row r="910" ht="15.75" customHeight="1">
      <c r="V910" s="85"/>
      <c r="X910" s="85"/>
    </row>
    <row r="911" ht="15.75" customHeight="1">
      <c r="V911" s="85"/>
      <c r="X911" s="85"/>
    </row>
  </sheetData>
  <mergeCells count="66">
    <mergeCell ref="A3:A6"/>
    <mergeCell ref="B3:B6"/>
    <mergeCell ref="F3:F6"/>
    <mergeCell ref="G3:G6"/>
    <mergeCell ref="B7:B10"/>
    <mergeCell ref="F7:F10"/>
    <mergeCell ref="G7:G10"/>
    <mergeCell ref="A7:A10"/>
    <mergeCell ref="A11:A17"/>
    <mergeCell ref="B11:B17"/>
    <mergeCell ref="F11:F17"/>
    <mergeCell ref="G11:G17"/>
    <mergeCell ref="A18:A21"/>
    <mergeCell ref="B18:B21"/>
    <mergeCell ref="Q22:Q24"/>
    <mergeCell ref="Q25:Q30"/>
    <mergeCell ref="Q31:Q34"/>
    <mergeCell ref="S3:S6"/>
    <mergeCell ref="S7:S10"/>
    <mergeCell ref="Q11:Q17"/>
    <mergeCell ref="S11:S17"/>
    <mergeCell ref="Q18:Q21"/>
    <mergeCell ref="S18:S21"/>
    <mergeCell ref="S22:S24"/>
    <mergeCell ref="H1:H2"/>
    <mergeCell ref="I1:M1"/>
    <mergeCell ref="N1:N2"/>
    <mergeCell ref="O1:O2"/>
    <mergeCell ref="P1:P2"/>
    <mergeCell ref="Q1:Q2"/>
    <mergeCell ref="R1:R2"/>
    <mergeCell ref="A1:A2"/>
    <mergeCell ref="B1:B2"/>
    <mergeCell ref="C1:C2"/>
    <mergeCell ref="D1:D2"/>
    <mergeCell ref="E1:E2"/>
    <mergeCell ref="F1:F2"/>
    <mergeCell ref="G1:G2"/>
    <mergeCell ref="W1:W2"/>
    <mergeCell ref="W3:W6"/>
    <mergeCell ref="W11:W17"/>
    <mergeCell ref="W18:W34"/>
    <mergeCell ref="S1:S2"/>
    <mergeCell ref="T1:T2"/>
    <mergeCell ref="U1:U2"/>
    <mergeCell ref="V1:V2"/>
    <mergeCell ref="X1:X2"/>
    <mergeCell ref="Q3:Q6"/>
    <mergeCell ref="Q7:Q10"/>
    <mergeCell ref="W7:W10"/>
    <mergeCell ref="F18:F21"/>
    <mergeCell ref="G18:G21"/>
    <mergeCell ref="F22:F24"/>
    <mergeCell ref="G22:G24"/>
    <mergeCell ref="F25:F30"/>
    <mergeCell ref="G25:G30"/>
    <mergeCell ref="F31:F34"/>
    <mergeCell ref="G31:G34"/>
    <mergeCell ref="A22:A24"/>
    <mergeCell ref="B22:B24"/>
    <mergeCell ref="A25:A30"/>
    <mergeCell ref="B25:B30"/>
    <mergeCell ref="A31:A34"/>
    <mergeCell ref="B31:B34"/>
    <mergeCell ref="S25:S30"/>
    <mergeCell ref="S31:S34"/>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3.43"/>
    <col customWidth="1" min="3" max="3" width="20.0"/>
    <col customWidth="1" min="4" max="4" width="46.57"/>
    <col customWidth="1" min="5" max="5" width="59.71"/>
    <col customWidth="1" min="6" max="6" width="26.0"/>
    <col customWidth="1" min="7" max="7" width="24.0"/>
    <col customWidth="1" min="8" max="13" width="30.0"/>
    <col customWidth="1" min="14" max="14" width="32.0"/>
    <col customWidth="1" min="15" max="15" width="51.57"/>
    <col customWidth="1" min="16" max="16" width="36.0"/>
    <col customWidth="1" min="17" max="17" width="35.0"/>
    <col customWidth="1" min="18" max="18" width="100.71"/>
    <col customWidth="1" min="19" max="19" width="45.86"/>
    <col customWidth="1" min="20" max="20" width="28.0"/>
    <col customWidth="1" min="21" max="21" width="42.0"/>
    <col customWidth="1" min="22" max="22" width="34.0"/>
    <col customWidth="1" min="23" max="23" width="66.14"/>
    <col customWidth="1" min="24" max="24" width="22.0"/>
    <col customWidth="1" min="25" max="26" width="8.71"/>
  </cols>
  <sheetData>
    <row r="1" ht="30.0" customHeight="1">
      <c r="A1" s="4"/>
      <c r="B1" s="4" t="s">
        <v>2</v>
      </c>
      <c r="C1" s="4" t="s">
        <v>4</v>
      </c>
      <c r="D1" s="4" t="s">
        <v>5</v>
      </c>
      <c r="E1" s="4" t="s">
        <v>7</v>
      </c>
      <c r="F1" s="4" t="s">
        <v>12</v>
      </c>
      <c r="G1" s="4" t="s">
        <v>16</v>
      </c>
      <c r="H1" s="4" t="s">
        <v>8</v>
      </c>
      <c r="I1" s="11" t="s">
        <v>23</v>
      </c>
      <c r="J1" s="13"/>
      <c r="K1" s="13"/>
      <c r="L1" s="13"/>
      <c r="M1" s="14"/>
      <c r="N1" s="16" t="s">
        <v>42</v>
      </c>
      <c r="O1" s="4" t="s">
        <v>49</v>
      </c>
      <c r="P1" s="4" t="s">
        <v>55</v>
      </c>
      <c r="Q1" s="4" t="s">
        <v>60</v>
      </c>
      <c r="R1" s="4" t="s">
        <v>64</v>
      </c>
      <c r="S1" s="4" t="s">
        <v>69</v>
      </c>
      <c r="T1" s="4" t="s">
        <v>74</v>
      </c>
      <c r="U1" s="4" t="s">
        <v>78</v>
      </c>
      <c r="V1" s="21" t="s">
        <v>83</v>
      </c>
      <c r="W1" s="4" t="s">
        <v>89</v>
      </c>
      <c r="X1" s="4" t="s">
        <v>93</v>
      </c>
    </row>
    <row r="2" ht="43.5" customHeight="1">
      <c r="A2" s="22"/>
      <c r="B2" s="22"/>
      <c r="C2" s="22"/>
      <c r="D2" s="22"/>
      <c r="E2" s="22"/>
      <c r="F2" s="22"/>
      <c r="G2" s="22"/>
      <c r="H2" s="22"/>
      <c r="I2" s="24" t="s">
        <v>102</v>
      </c>
      <c r="J2" s="24" t="s">
        <v>104</v>
      </c>
      <c r="K2" s="24" t="s">
        <v>106</v>
      </c>
      <c r="L2" s="24" t="s">
        <v>108</v>
      </c>
      <c r="M2" s="24" t="s">
        <v>109</v>
      </c>
      <c r="N2" s="22"/>
      <c r="O2" s="22"/>
      <c r="P2" s="22"/>
      <c r="Q2" s="22"/>
      <c r="R2" s="22"/>
      <c r="S2" s="22"/>
      <c r="T2" s="22"/>
      <c r="U2" s="22"/>
      <c r="V2" s="22"/>
      <c r="W2" s="22"/>
      <c r="X2" s="22"/>
    </row>
    <row r="3" ht="139.5" customHeight="1">
      <c r="A3" s="28" t="s">
        <v>119</v>
      </c>
      <c r="B3" s="31" t="s">
        <v>125</v>
      </c>
      <c r="C3" s="32" t="s">
        <v>133</v>
      </c>
      <c r="D3" s="32" t="s">
        <v>139</v>
      </c>
      <c r="E3" s="32" t="s">
        <v>140</v>
      </c>
      <c r="F3" s="36" t="s">
        <v>142</v>
      </c>
      <c r="G3" s="36" t="s">
        <v>146</v>
      </c>
      <c r="H3" s="39" t="s">
        <v>22</v>
      </c>
      <c r="I3" s="41" t="s">
        <v>152</v>
      </c>
      <c r="J3" s="41" t="s">
        <v>156</v>
      </c>
      <c r="K3" s="41" t="s">
        <v>157</v>
      </c>
      <c r="L3" s="41" t="s">
        <v>159</v>
      </c>
      <c r="M3" s="41" t="s">
        <v>161</v>
      </c>
      <c r="N3" s="43" t="s">
        <v>164</v>
      </c>
      <c r="O3" s="39" t="s">
        <v>165</v>
      </c>
      <c r="P3" s="39" t="s">
        <v>166</v>
      </c>
      <c r="Q3" s="36" t="s">
        <v>168</v>
      </c>
      <c r="R3" s="32" t="s">
        <v>170</v>
      </c>
      <c r="S3" s="36" t="s">
        <v>172</v>
      </c>
      <c r="T3" s="46" t="s">
        <v>176</v>
      </c>
      <c r="U3" s="46" t="s">
        <v>178</v>
      </c>
      <c r="V3" s="47" t="s">
        <v>180</v>
      </c>
      <c r="W3" s="36" t="s">
        <v>182</v>
      </c>
      <c r="X3" s="32" t="s">
        <v>184</v>
      </c>
    </row>
    <row r="4" ht="121.5" customHeight="1">
      <c r="A4" s="19"/>
      <c r="B4" s="19"/>
      <c r="C4" s="32" t="s">
        <v>188</v>
      </c>
      <c r="D4" s="32" t="s">
        <v>191</v>
      </c>
      <c r="E4" s="32" t="s">
        <v>192</v>
      </c>
      <c r="F4" s="19"/>
      <c r="G4" s="19"/>
      <c r="H4" s="39" t="s">
        <v>77</v>
      </c>
      <c r="I4" s="41" t="s">
        <v>194</v>
      </c>
      <c r="J4" s="41" t="s">
        <v>196</v>
      </c>
      <c r="K4" s="41" t="s">
        <v>198</v>
      </c>
      <c r="L4" s="41" t="s">
        <v>200</v>
      </c>
      <c r="M4" s="41" t="s">
        <v>202</v>
      </c>
      <c r="N4" s="43" t="s">
        <v>205</v>
      </c>
      <c r="O4" s="39" t="s">
        <v>208</v>
      </c>
      <c r="P4" s="39" t="s">
        <v>209</v>
      </c>
      <c r="Q4" s="19"/>
      <c r="R4" s="32" t="s">
        <v>211</v>
      </c>
      <c r="S4" s="19"/>
      <c r="T4" s="46" t="s">
        <v>213</v>
      </c>
      <c r="U4" s="46" t="s">
        <v>214</v>
      </c>
      <c r="V4" s="47" t="s">
        <v>216</v>
      </c>
      <c r="W4" s="19"/>
      <c r="X4" s="32" t="s">
        <v>218</v>
      </c>
    </row>
    <row r="5" ht="159.0" customHeight="1">
      <c r="A5" s="19"/>
      <c r="B5" s="19"/>
      <c r="C5" s="32" t="s">
        <v>221</v>
      </c>
      <c r="D5" s="32" t="s">
        <v>222</v>
      </c>
      <c r="E5" s="32" t="s">
        <v>224</v>
      </c>
      <c r="F5" s="19"/>
      <c r="G5" s="19"/>
      <c r="H5" s="39" t="s">
        <v>53</v>
      </c>
      <c r="I5" s="41" t="s">
        <v>228</v>
      </c>
      <c r="J5" s="41" t="s">
        <v>229</v>
      </c>
      <c r="K5" s="41" t="s">
        <v>231</v>
      </c>
      <c r="L5" s="41" t="s">
        <v>234</v>
      </c>
      <c r="M5" s="41" t="s">
        <v>236</v>
      </c>
      <c r="N5" s="43" t="s">
        <v>238</v>
      </c>
      <c r="O5" s="39" t="s">
        <v>241</v>
      </c>
      <c r="P5" s="39" t="s">
        <v>243</v>
      </c>
      <c r="Q5" s="19"/>
      <c r="R5" s="32" t="s">
        <v>247</v>
      </c>
      <c r="S5" s="19"/>
      <c r="T5" s="46" t="s">
        <v>249</v>
      </c>
      <c r="U5" s="46" t="s">
        <v>250</v>
      </c>
      <c r="V5" s="47" t="s">
        <v>251</v>
      </c>
      <c r="W5" s="19"/>
      <c r="X5" s="32" t="s">
        <v>184</v>
      </c>
    </row>
    <row r="6" ht="153.0" customHeight="1">
      <c r="A6" s="19"/>
      <c r="B6" s="19"/>
      <c r="C6" s="32" t="s">
        <v>255</v>
      </c>
      <c r="D6" s="32" t="s">
        <v>256</v>
      </c>
      <c r="E6" s="32" t="s">
        <v>258</v>
      </c>
      <c r="F6" s="19"/>
      <c r="G6" s="19"/>
      <c r="H6" s="39" t="s">
        <v>77</v>
      </c>
      <c r="I6" s="41" t="s">
        <v>261</v>
      </c>
      <c r="J6" s="41" t="s">
        <v>263</v>
      </c>
      <c r="K6" s="41" t="s">
        <v>264</v>
      </c>
      <c r="L6" s="41" t="s">
        <v>265</v>
      </c>
      <c r="M6" s="41" t="s">
        <v>267</v>
      </c>
      <c r="N6" s="43" t="s">
        <v>269</v>
      </c>
      <c r="O6" s="39" t="s">
        <v>272</v>
      </c>
      <c r="P6" s="39" t="s">
        <v>274</v>
      </c>
      <c r="Q6" s="19"/>
      <c r="R6" s="32" t="s">
        <v>279</v>
      </c>
      <c r="S6" s="19"/>
      <c r="T6" s="46" t="s">
        <v>281</v>
      </c>
      <c r="U6" s="46" t="s">
        <v>282</v>
      </c>
      <c r="V6" s="47" t="s">
        <v>284</v>
      </c>
      <c r="W6" s="19"/>
      <c r="X6" s="32" t="s">
        <v>184</v>
      </c>
    </row>
    <row r="7" ht="87.75" customHeight="1">
      <c r="A7" s="19"/>
      <c r="B7" s="19"/>
      <c r="C7" s="32" t="s">
        <v>288</v>
      </c>
      <c r="D7" s="32" t="s">
        <v>290</v>
      </c>
      <c r="E7" s="32" t="s">
        <v>291</v>
      </c>
      <c r="F7" s="19"/>
      <c r="G7" s="19"/>
      <c r="H7" s="39" t="s">
        <v>53</v>
      </c>
      <c r="I7" s="41" t="s">
        <v>294</v>
      </c>
      <c r="J7" s="41" t="s">
        <v>295</v>
      </c>
      <c r="K7" s="41" t="s">
        <v>298</v>
      </c>
      <c r="L7" s="41" t="s">
        <v>299</v>
      </c>
      <c r="M7" s="41" t="s">
        <v>300</v>
      </c>
      <c r="N7" s="43" t="s">
        <v>301</v>
      </c>
      <c r="O7" s="39" t="s">
        <v>302</v>
      </c>
      <c r="P7" s="39" t="s">
        <v>304</v>
      </c>
      <c r="Q7" s="19"/>
      <c r="R7" s="32" t="s">
        <v>306</v>
      </c>
      <c r="S7" s="19"/>
      <c r="T7" s="46" t="s">
        <v>309</v>
      </c>
      <c r="U7" s="46" t="s">
        <v>310</v>
      </c>
      <c r="V7" s="47" t="s">
        <v>311</v>
      </c>
      <c r="W7" s="19"/>
      <c r="X7" s="32" t="s">
        <v>184</v>
      </c>
    </row>
    <row r="8" ht="103.5" customHeight="1">
      <c r="A8" s="22"/>
      <c r="B8" s="22"/>
      <c r="C8" s="32" t="s">
        <v>316</v>
      </c>
      <c r="D8" s="32" t="s">
        <v>317</v>
      </c>
      <c r="E8" s="32" t="s">
        <v>320</v>
      </c>
      <c r="F8" s="22"/>
      <c r="G8" s="22"/>
      <c r="H8" s="39" t="s">
        <v>53</v>
      </c>
      <c r="I8" s="41" t="s">
        <v>321</v>
      </c>
      <c r="J8" s="41" t="s">
        <v>323</v>
      </c>
      <c r="K8" s="41" t="s">
        <v>325</v>
      </c>
      <c r="L8" s="41" t="s">
        <v>327</v>
      </c>
      <c r="M8" s="41" t="s">
        <v>329</v>
      </c>
      <c r="N8" s="43" t="s">
        <v>331</v>
      </c>
      <c r="O8" s="39" t="s">
        <v>334</v>
      </c>
      <c r="P8" s="39" t="s">
        <v>336</v>
      </c>
      <c r="Q8" s="22"/>
      <c r="R8" s="32" t="s">
        <v>339</v>
      </c>
      <c r="S8" s="22"/>
      <c r="T8" s="46" t="s">
        <v>341</v>
      </c>
      <c r="U8" s="46" t="s">
        <v>343</v>
      </c>
      <c r="V8" s="47" t="s">
        <v>345</v>
      </c>
      <c r="W8" s="22"/>
      <c r="X8" s="32" t="s">
        <v>184</v>
      </c>
    </row>
    <row r="9" ht="147.0" customHeight="1">
      <c r="A9" s="56" t="s">
        <v>347</v>
      </c>
      <c r="B9" s="57" t="s">
        <v>353</v>
      </c>
      <c r="C9" s="55" t="s">
        <v>358</v>
      </c>
      <c r="D9" s="55" t="s">
        <v>360</v>
      </c>
      <c r="E9" s="55" t="s">
        <v>361</v>
      </c>
      <c r="F9" s="36" t="s">
        <v>363</v>
      </c>
      <c r="G9" s="36" t="s">
        <v>367</v>
      </c>
      <c r="H9" s="59" t="s">
        <v>22</v>
      </c>
      <c r="I9" s="60" t="s">
        <v>377</v>
      </c>
      <c r="J9" s="60" t="s">
        <v>380</v>
      </c>
      <c r="K9" s="60" t="s">
        <v>381</v>
      </c>
      <c r="L9" s="60" t="s">
        <v>382</v>
      </c>
      <c r="M9" s="60" t="s">
        <v>384</v>
      </c>
      <c r="N9" s="62" t="s">
        <v>388</v>
      </c>
      <c r="O9" s="59" t="s">
        <v>392</v>
      </c>
      <c r="P9" s="59" t="s">
        <v>394</v>
      </c>
      <c r="Q9" s="36" t="s">
        <v>395</v>
      </c>
      <c r="R9" s="55" t="s">
        <v>404</v>
      </c>
      <c r="S9" s="36" t="s">
        <v>407</v>
      </c>
      <c r="T9" s="64" t="s">
        <v>411</v>
      </c>
      <c r="U9" s="64" t="s">
        <v>412</v>
      </c>
      <c r="V9" s="65" t="s">
        <v>416</v>
      </c>
      <c r="W9" s="36" t="s">
        <v>419</v>
      </c>
      <c r="X9" s="55" t="s">
        <v>184</v>
      </c>
    </row>
    <row r="10" ht="166.5" customHeight="1">
      <c r="A10" s="19"/>
      <c r="B10" s="19"/>
      <c r="C10" s="55" t="s">
        <v>426</v>
      </c>
      <c r="D10" s="55" t="s">
        <v>429</v>
      </c>
      <c r="E10" s="55" t="s">
        <v>431</v>
      </c>
      <c r="F10" s="19"/>
      <c r="G10" s="19"/>
      <c r="H10" s="59" t="s">
        <v>22</v>
      </c>
      <c r="I10" s="60" t="s">
        <v>434</v>
      </c>
      <c r="J10" s="60" t="s">
        <v>435</v>
      </c>
      <c r="K10" s="60" t="s">
        <v>437</v>
      </c>
      <c r="L10" s="60" t="s">
        <v>442</v>
      </c>
      <c r="M10" s="60" t="s">
        <v>443</v>
      </c>
      <c r="N10" s="62" t="s">
        <v>444</v>
      </c>
      <c r="O10" s="59" t="s">
        <v>446</v>
      </c>
      <c r="P10" s="59" t="s">
        <v>447</v>
      </c>
      <c r="Q10" s="19"/>
      <c r="R10" s="55" t="s">
        <v>449</v>
      </c>
      <c r="S10" s="19"/>
      <c r="T10" s="64" t="s">
        <v>452</v>
      </c>
      <c r="U10" s="64" t="s">
        <v>454</v>
      </c>
      <c r="V10" s="65" t="s">
        <v>456</v>
      </c>
      <c r="W10" s="19"/>
      <c r="X10" s="55" t="s">
        <v>184</v>
      </c>
    </row>
    <row r="11" ht="138.0" customHeight="1">
      <c r="A11" s="19"/>
      <c r="B11" s="19"/>
      <c r="C11" s="55" t="s">
        <v>458</v>
      </c>
      <c r="D11" s="55" t="s">
        <v>459</v>
      </c>
      <c r="E11" s="55" t="s">
        <v>460</v>
      </c>
      <c r="F11" s="19"/>
      <c r="G11" s="19"/>
      <c r="H11" s="59" t="s">
        <v>22</v>
      </c>
      <c r="I11" s="60" t="s">
        <v>465</v>
      </c>
      <c r="J11" s="60" t="s">
        <v>467</v>
      </c>
      <c r="K11" s="60" t="s">
        <v>469</v>
      </c>
      <c r="L11" s="60" t="s">
        <v>471</v>
      </c>
      <c r="M11" s="60" t="s">
        <v>473</v>
      </c>
      <c r="N11" s="62" t="s">
        <v>475</v>
      </c>
      <c r="O11" s="59" t="s">
        <v>476</v>
      </c>
      <c r="P11" s="59" t="s">
        <v>477</v>
      </c>
      <c r="Q11" s="19"/>
      <c r="R11" s="55" t="s">
        <v>480</v>
      </c>
      <c r="S11" s="19"/>
      <c r="T11" s="64" t="s">
        <v>481</v>
      </c>
      <c r="U11" s="64" t="s">
        <v>482</v>
      </c>
      <c r="V11" s="65" t="s">
        <v>484</v>
      </c>
      <c r="W11" s="19"/>
      <c r="X11" s="55" t="s">
        <v>184</v>
      </c>
    </row>
    <row r="12" ht="87.75" customHeight="1">
      <c r="A12" s="19"/>
      <c r="B12" s="19"/>
      <c r="C12" s="55" t="s">
        <v>485</v>
      </c>
      <c r="D12" s="55" t="s">
        <v>487</v>
      </c>
      <c r="E12" s="55" t="s">
        <v>489</v>
      </c>
      <c r="F12" s="19"/>
      <c r="G12" s="19"/>
      <c r="H12" s="59" t="s">
        <v>22</v>
      </c>
      <c r="I12" s="60" t="s">
        <v>491</v>
      </c>
      <c r="J12" s="60" t="s">
        <v>492</v>
      </c>
      <c r="K12" s="60" t="s">
        <v>493</v>
      </c>
      <c r="L12" s="60" t="s">
        <v>494</v>
      </c>
      <c r="M12" s="60" t="s">
        <v>496</v>
      </c>
      <c r="N12" s="62" t="s">
        <v>498</v>
      </c>
      <c r="O12" s="59" t="s">
        <v>501</v>
      </c>
      <c r="P12" s="59" t="s">
        <v>502</v>
      </c>
      <c r="Q12" s="19"/>
      <c r="R12" s="55" t="s">
        <v>505</v>
      </c>
      <c r="S12" s="19"/>
      <c r="T12" s="64" t="s">
        <v>509</v>
      </c>
      <c r="U12" s="64" t="s">
        <v>511</v>
      </c>
      <c r="V12" s="65" t="s">
        <v>513</v>
      </c>
      <c r="W12" s="19"/>
      <c r="X12" s="55" t="s">
        <v>184</v>
      </c>
    </row>
    <row r="13" ht="115.5" customHeight="1">
      <c r="A13" s="22"/>
      <c r="B13" s="22"/>
      <c r="C13" s="55" t="s">
        <v>518</v>
      </c>
      <c r="D13" s="55" t="s">
        <v>519</v>
      </c>
      <c r="E13" s="55" t="s">
        <v>521</v>
      </c>
      <c r="F13" s="19"/>
      <c r="G13" s="19"/>
      <c r="H13" s="59" t="s">
        <v>53</v>
      </c>
      <c r="I13" s="60" t="s">
        <v>523</v>
      </c>
      <c r="J13" s="60" t="s">
        <v>526</v>
      </c>
      <c r="K13" s="60" t="s">
        <v>528</v>
      </c>
      <c r="L13" s="60" t="s">
        <v>529</v>
      </c>
      <c r="M13" s="60" t="s">
        <v>531</v>
      </c>
      <c r="N13" s="62" t="s">
        <v>532</v>
      </c>
      <c r="O13" s="59" t="s">
        <v>534</v>
      </c>
      <c r="P13" s="59" t="s">
        <v>536</v>
      </c>
      <c r="Q13" s="19"/>
      <c r="R13" s="55" t="s">
        <v>538</v>
      </c>
      <c r="S13" s="19"/>
      <c r="T13" s="64" t="s">
        <v>541</v>
      </c>
      <c r="U13" s="64" t="s">
        <v>543</v>
      </c>
      <c r="V13" s="65" t="s">
        <v>546</v>
      </c>
      <c r="W13" s="19"/>
      <c r="X13" s="55" t="s">
        <v>184</v>
      </c>
    </row>
    <row r="14" ht="103.5" customHeight="1">
      <c r="A14" s="56" t="s">
        <v>550</v>
      </c>
      <c r="B14" s="57" t="s">
        <v>554</v>
      </c>
      <c r="C14" s="55" t="s">
        <v>557</v>
      </c>
      <c r="D14" s="55" t="s">
        <v>559</v>
      </c>
      <c r="E14" s="55" t="s">
        <v>561</v>
      </c>
      <c r="F14" s="36" t="s">
        <v>564</v>
      </c>
      <c r="G14" s="36" t="s">
        <v>569</v>
      </c>
      <c r="H14" s="59" t="s">
        <v>53</v>
      </c>
      <c r="I14" s="60" t="s">
        <v>574</v>
      </c>
      <c r="J14" s="60" t="s">
        <v>576</v>
      </c>
      <c r="K14" s="60" t="s">
        <v>579</v>
      </c>
      <c r="L14" s="60" t="s">
        <v>581</v>
      </c>
      <c r="M14" s="60" t="s">
        <v>584</v>
      </c>
      <c r="N14" s="62" t="s">
        <v>586</v>
      </c>
      <c r="O14" s="59" t="s">
        <v>589</v>
      </c>
      <c r="P14" s="59" t="s">
        <v>591</v>
      </c>
      <c r="Q14" s="36" t="s">
        <v>594</v>
      </c>
      <c r="R14" s="55" t="s">
        <v>601</v>
      </c>
      <c r="S14" s="36" t="s">
        <v>606</v>
      </c>
      <c r="T14" s="64" t="s">
        <v>176</v>
      </c>
      <c r="U14" s="64" t="s">
        <v>612</v>
      </c>
      <c r="V14" s="65" t="s">
        <v>614</v>
      </c>
      <c r="W14" s="36" t="s">
        <v>618</v>
      </c>
      <c r="X14" s="55" t="s">
        <v>184</v>
      </c>
    </row>
    <row r="15" ht="92.25" customHeight="1">
      <c r="A15" s="19"/>
      <c r="B15" s="19"/>
      <c r="C15" s="55" t="s">
        <v>627</v>
      </c>
      <c r="D15" s="55" t="s">
        <v>629</v>
      </c>
      <c r="E15" s="55" t="s">
        <v>631</v>
      </c>
      <c r="F15" s="19"/>
      <c r="G15" s="19"/>
      <c r="H15" s="59" t="s">
        <v>22</v>
      </c>
      <c r="I15" s="60" t="s">
        <v>636</v>
      </c>
      <c r="J15" s="60" t="s">
        <v>639</v>
      </c>
      <c r="K15" s="60" t="s">
        <v>640</v>
      </c>
      <c r="L15" s="60" t="s">
        <v>642</v>
      </c>
      <c r="M15" s="60" t="s">
        <v>644</v>
      </c>
      <c r="N15" s="62" t="s">
        <v>646</v>
      </c>
      <c r="O15" s="59" t="s">
        <v>651</v>
      </c>
      <c r="P15" s="59" t="s">
        <v>654</v>
      </c>
      <c r="Q15" s="19"/>
      <c r="R15" s="55" t="s">
        <v>658</v>
      </c>
      <c r="S15" s="19"/>
      <c r="T15" s="64" t="s">
        <v>664</v>
      </c>
      <c r="U15" s="64" t="s">
        <v>667</v>
      </c>
      <c r="V15" s="65" t="s">
        <v>669</v>
      </c>
      <c r="W15" s="19"/>
      <c r="X15" s="55" t="s">
        <v>184</v>
      </c>
    </row>
    <row r="16" ht="102.0" customHeight="1">
      <c r="A16" s="19"/>
      <c r="B16" s="19"/>
      <c r="C16" s="55" t="s">
        <v>673</v>
      </c>
      <c r="D16" s="55" t="s">
        <v>676</v>
      </c>
      <c r="E16" s="55" t="s">
        <v>677</v>
      </c>
      <c r="F16" s="19"/>
      <c r="G16" s="19"/>
      <c r="H16" s="59" t="s">
        <v>22</v>
      </c>
      <c r="I16" s="60" t="s">
        <v>680</v>
      </c>
      <c r="J16" s="60" t="s">
        <v>681</v>
      </c>
      <c r="K16" s="60" t="s">
        <v>682</v>
      </c>
      <c r="L16" s="60" t="s">
        <v>685</v>
      </c>
      <c r="M16" s="60" t="s">
        <v>687</v>
      </c>
      <c r="N16" s="62" t="s">
        <v>690</v>
      </c>
      <c r="O16" s="59" t="s">
        <v>692</v>
      </c>
      <c r="P16" s="59" t="s">
        <v>695</v>
      </c>
      <c r="Q16" s="19"/>
      <c r="R16" s="55" t="s">
        <v>699</v>
      </c>
      <c r="S16" s="19"/>
      <c r="T16" s="64" t="s">
        <v>702</v>
      </c>
      <c r="U16" s="64" t="s">
        <v>704</v>
      </c>
      <c r="V16" s="65" t="s">
        <v>707</v>
      </c>
      <c r="W16" s="19"/>
      <c r="X16" s="55" t="s">
        <v>184</v>
      </c>
    </row>
    <row r="17" ht="142.5" customHeight="1">
      <c r="A17" s="22"/>
      <c r="B17" s="22"/>
      <c r="C17" s="55" t="s">
        <v>717</v>
      </c>
      <c r="D17" s="55" t="s">
        <v>721</v>
      </c>
      <c r="E17" s="55" t="s">
        <v>723</v>
      </c>
      <c r="F17" s="19"/>
      <c r="G17" s="19"/>
      <c r="H17" s="59" t="s">
        <v>77</v>
      </c>
      <c r="I17" s="60" t="s">
        <v>726</v>
      </c>
      <c r="J17" s="60" t="s">
        <v>729</v>
      </c>
      <c r="K17" s="60" t="s">
        <v>730</v>
      </c>
      <c r="L17" s="60" t="s">
        <v>731</v>
      </c>
      <c r="M17" s="60" t="s">
        <v>733</v>
      </c>
      <c r="N17" s="62" t="s">
        <v>735</v>
      </c>
      <c r="O17" s="59" t="s">
        <v>738</v>
      </c>
      <c r="P17" s="59" t="s">
        <v>739</v>
      </c>
      <c r="Q17" s="19"/>
      <c r="R17" s="55" t="s">
        <v>742</v>
      </c>
      <c r="S17" s="19"/>
      <c r="T17" s="64" t="s">
        <v>541</v>
      </c>
      <c r="U17" s="64" t="s">
        <v>746</v>
      </c>
      <c r="V17" s="65" t="s">
        <v>747</v>
      </c>
      <c r="W17" s="19"/>
      <c r="X17" s="55" t="s">
        <v>184</v>
      </c>
    </row>
    <row r="18" ht="97.5" customHeight="1">
      <c r="A18" s="56" t="s">
        <v>550</v>
      </c>
      <c r="B18" s="55" t="s">
        <v>756</v>
      </c>
      <c r="C18" s="55" t="s">
        <v>758</v>
      </c>
      <c r="D18" s="55" t="s">
        <v>760</v>
      </c>
      <c r="E18" s="55" t="s">
        <v>762</v>
      </c>
      <c r="F18" s="36" t="s">
        <v>766</v>
      </c>
      <c r="G18" s="36" t="s">
        <v>772</v>
      </c>
      <c r="H18" s="59" t="s">
        <v>53</v>
      </c>
      <c r="I18" s="60" t="s">
        <v>778</v>
      </c>
      <c r="J18" s="60" t="s">
        <v>779</v>
      </c>
      <c r="K18" s="60" t="s">
        <v>782</v>
      </c>
      <c r="L18" s="60" t="s">
        <v>783</v>
      </c>
      <c r="M18" s="60" t="s">
        <v>784</v>
      </c>
      <c r="N18" s="62" t="s">
        <v>785</v>
      </c>
      <c r="O18" s="59" t="s">
        <v>787</v>
      </c>
      <c r="P18" s="59" t="s">
        <v>788</v>
      </c>
      <c r="Q18" s="36" t="s">
        <v>790</v>
      </c>
      <c r="R18" s="55" t="s">
        <v>796</v>
      </c>
      <c r="S18" s="36" t="s">
        <v>797</v>
      </c>
      <c r="T18" s="64" t="s">
        <v>249</v>
      </c>
      <c r="U18" s="64" t="s">
        <v>798</v>
      </c>
      <c r="V18" s="65" t="s">
        <v>799</v>
      </c>
      <c r="W18" s="36" t="s">
        <v>801</v>
      </c>
      <c r="X18" s="55" t="s">
        <v>184</v>
      </c>
    </row>
    <row r="19" ht="99.0" customHeight="1">
      <c r="A19" s="19"/>
      <c r="B19" s="55" t="s">
        <v>756</v>
      </c>
      <c r="C19" s="55" t="s">
        <v>803</v>
      </c>
      <c r="D19" s="55" t="s">
        <v>805</v>
      </c>
      <c r="E19" s="55" t="s">
        <v>807</v>
      </c>
      <c r="F19" s="19"/>
      <c r="G19" s="19"/>
      <c r="H19" s="59" t="s">
        <v>22</v>
      </c>
      <c r="I19" s="60" t="s">
        <v>809</v>
      </c>
      <c r="J19" s="60" t="s">
        <v>811</v>
      </c>
      <c r="K19" s="60" t="s">
        <v>814</v>
      </c>
      <c r="L19" s="60" t="s">
        <v>815</v>
      </c>
      <c r="M19" s="60" t="s">
        <v>816</v>
      </c>
      <c r="N19" s="62" t="s">
        <v>818</v>
      </c>
      <c r="O19" s="59" t="s">
        <v>821</v>
      </c>
      <c r="P19" s="59" t="s">
        <v>823</v>
      </c>
      <c r="Q19" s="19"/>
      <c r="R19" s="55" t="s">
        <v>827</v>
      </c>
      <c r="S19" s="19"/>
      <c r="T19" s="64" t="s">
        <v>541</v>
      </c>
      <c r="U19" s="64" t="s">
        <v>830</v>
      </c>
      <c r="V19" s="65" t="s">
        <v>832</v>
      </c>
      <c r="W19" s="19"/>
      <c r="X19" s="55" t="s">
        <v>184</v>
      </c>
    </row>
    <row r="20" ht="112.5" customHeight="1">
      <c r="A20" s="19"/>
      <c r="B20" s="77" t="s">
        <v>756</v>
      </c>
      <c r="C20" s="59" t="s">
        <v>838</v>
      </c>
      <c r="D20" s="59" t="s">
        <v>839</v>
      </c>
      <c r="E20" s="59" t="s">
        <v>841</v>
      </c>
      <c r="F20" s="19"/>
      <c r="G20" s="19"/>
      <c r="H20" s="59" t="s">
        <v>22</v>
      </c>
      <c r="I20" s="60" t="s">
        <v>845</v>
      </c>
      <c r="J20" s="60" t="s">
        <v>847</v>
      </c>
      <c r="K20" s="60" t="s">
        <v>849</v>
      </c>
      <c r="L20" s="60" t="s">
        <v>851</v>
      </c>
      <c r="M20" s="60" t="s">
        <v>853</v>
      </c>
      <c r="N20" s="62" t="s">
        <v>855</v>
      </c>
      <c r="O20" s="59" t="s">
        <v>858</v>
      </c>
      <c r="P20" s="59" t="s">
        <v>860</v>
      </c>
      <c r="Q20" s="19"/>
      <c r="R20" s="59" t="s">
        <v>863</v>
      </c>
      <c r="S20" s="19"/>
      <c r="T20" s="64" t="s">
        <v>509</v>
      </c>
      <c r="U20" s="64" t="s">
        <v>866</v>
      </c>
      <c r="V20" s="65" t="s">
        <v>867</v>
      </c>
      <c r="W20" s="19"/>
      <c r="X20" s="78" t="s">
        <v>869</v>
      </c>
    </row>
    <row r="21" ht="195.0" customHeight="1">
      <c r="A21" s="19"/>
      <c r="B21" s="19"/>
      <c r="C21" s="55" t="s">
        <v>874</v>
      </c>
      <c r="D21" s="55" t="s">
        <v>876</v>
      </c>
      <c r="E21" s="55" t="s">
        <v>878</v>
      </c>
      <c r="F21" s="19"/>
      <c r="G21" s="19"/>
      <c r="H21" s="59" t="s">
        <v>22</v>
      </c>
      <c r="I21" s="60" t="s">
        <v>882</v>
      </c>
      <c r="J21" s="60" t="s">
        <v>884</v>
      </c>
      <c r="K21" s="60" t="s">
        <v>887</v>
      </c>
      <c r="L21" s="60" t="s">
        <v>889</v>
      </c>
      <c r="M21" s="60" t="s">
        <v>890</v>
      </c>
      <c r="N21" s="62" t="s">
        <v>894</v>
      </c>
      <c r="O21" s="59" t="s">
        <v>895</v>
      </c>
      <c r="P21" s="59" t="s">
        <v>896</v>
      </c>
      <c r="Q21" s="19"/>
      <c r="R21" s="55" t="s">
        <v>899</v>
      </c>
      <c r="S21" s="19"/>
      <c r="T21" s="64" t="s">
        <v>481</v>
      </c>
      <c r="U21" s="64" t="s">
        <v>901</v>
      </c>
      <c r="V21" s="65" t="s">
        <v>903</v>
      </c>
      <c r="W21" s="19"/>
      <c r="X21" s="55" t="s">
        <v>184</v>
      </c>
    </row>
    <row r="22" ht="118.5" customHeight="1">
      <c r="A22" s="19"/>
      <c r="B22" s="19"/>
      <c r="C22" s="59" t="s">
        <v>906</v>
      </c>
      <c r="D22" s="59" t="s">
        <v>909</v>
      </c>
      <c r="E22" s="59" t="s">
        <v>910</v>
      </c>
      <c r="F22" s="19"/>
      <c r="G22" s="19"/>
      <c r="H22" s="59" t="s">
        <v>77</v>
      </c>
      <c r="I22" s="60" t="s">
        <v>913</v>
      </c>
      <c r="J22" s="60" t="s">
        <v>914</v>
      </c>
      <c r="K22" s="60" t="s">
        <v>915</v>
      </c>
      <c r="L22" s="60" t="s">
        <v>917</v>
      </c>
      <c r="M22" s="60" t="s">
        <v>918</v>
      </c>
      <c r="N22" s="62" t="s">
        <v>919</v>
      </c>
      <c r="O22" s="59" t="s">
        <v>922</v>
      </c>
      <c r="P22" s="59" t="s">
        <v>924</v>
      </c>
      <c r="Q22" s="19"/>
      <c r="R22" s="59" t="s">
        <v>927</v>
      </c>
      <c r="S22" s="19"/>
      <c r="T22" s="64" t="s">
        <v>929</v>
      </c>
      <c r="U22" s="64" t="s">
        <v>930</v>
      </c>
      <c r="V22" s="65" t="s">
        <v>931</v>
      </c>
      <c r="W22" s="19"/>
      <c r="X22" s="78" t="s">
        <v>934</v>
      </c>
    </row>
    <row r="23" ht="123.0" customHeight="1">
      <c r="A23" s="22"/>
      <c r="B23" s="22"/>
      <c r="C23" s="59" t="s">
        <v>939</v>
      </c>
      <c r="D23" s="59" t="s">
        <v>941</v>
      </c>
      <c r="E23" s="59" t="s">
        <v>943</v>
      </c>
      <c r="F23" s="19"/>
      <c r="G23" s="19"/>
      <c r="H23" s="59" t="s">
        <v>77</v>
      </c>
      <c r="I23" s="60" t="s">
        <v>947</v>
      </c>
      <c r="J23" s="60" t="s">
        <v>948</v>
      </c>
      <c r="K23" s="60" t="s">
        <v>949</v>
      </c>
      <c r="L23" s="60" t="s">
        <v>951</v>
      </c>
      <c r="M23" s="60" t="s">
        <v>953</v>
      </c>
      <c r="N23" s="62" t="s">
        <v>956</v>
      </c>
      <c r="O23" s="59" t="s">
        <v>957</v>
      </c>
      <c r="P23" s="59" t="s">
        <v>958</v>
      </c>
      <c r="Q23" s="19"/>
      <c r="R23" s="59" t="s">
        <v>961</v>
      </c>
      <c r="S23" s="19"/>
      <c r="T23" s="64" t="s">
        <v>962</v>
      </c>
      <c r="U23" s="64" t="s">
        <v>963</v>
      </c>
      <c r="V23" s="65" t="s">
        <v>964</v>
      </c>
      <c r="W23" s="19"/>
      <c r="X23" s="78" t="s">
        <v>869</v>
      </c>
    </row>
    <row r="24" ht="87.75" customHeight="1">
      <c r="A24" s="56" t="s">
        <v>347</v>
      </c>
      <c r="B24" s="57" t="s">
        <v>970</v>
      </c>
      <c r="C24" s="55" t="s">
        <v>974</v>
      </c>
      <c r="D24" s="55" t="s">
        <v>977</v>
      </c>
      <c r="E24" s="55" t="s">
        <v>979</v>
      </c>
      <c r="F24" s="36" t="s">
        <v>983</v>
      </c>
      <c r="G24" s="36" t="s">
        <v>988</v>
      </c>
      <c r="H24" s="59" t="s">
        <v>77</v>
      </c>
      <c r="I24" s="60" t="s">
        <v>991</v>
      </c>
      <c r="J24" s="60" t="s">
        <v>992</v>
      </c>
      <c r="K24" s="60" t="s">
        <v>993</v>
      </c>
      <c r="L24" s="60" t="s">
        <v>994</v>
      </c>
      <c r="M24" s="60" t="s">
        <v>996</v>
      </c>
      <c r="N24" s="62" t="s">
        <v>998</v>
      </c>
      <c r="O24" s="59" t="s">
        <v>1000</v>
      </c>
      <c r="P24" s="59" t="s">
        <v>1001</v>
      </c>
      <c r="Q24" s="36" t="s">
        <v>1003</v>
      </c>
      <c r="R24" s="55" t="s">
        <v>1009</v>
      </c>
      <c r="S24" s="36" t="s">
        <v>1012</v>
      </c>
      <c r="T24" s="64" t="s">
        <v>1014</v>
      </c>
      <c r="U24" s="64" t="s">
        <v>1016</v>
      </c>
      <c r="V24" s="65" t="s">
        <v>1017</v>
      </c>
      <c r="W24" s="36" t="s">
        <v>1018</v>
      </c>
      <c r="X24" s="55" t="s">
        <v>184</v>
      </c>
    </row>
    <row r="25" ht="163.5" customHeight="1">
      <c r="A25" s="22"/>
      <c r="B25" s="22"/>
      <c r="C25" s="55" t="s">
        <v>1022</v>
      </c>
      <c r="D25" s="55" t="s">
        <v>1023</v>
      </c>
      <c r="E25" s="55" t="s">
        <v>1025</v>
      </c>
      <c r="F25" s="22"/>
      <c r="G25" s="22"/>
      <c r="H25" s="59" t="s">
        <v>53</v>
      </c>
      <c r="I25" s="60" t="s">
        <v>1027</v>
      </c>
      <c r="J25" s="60" t="s">
        <v>1029</v>
      </c>
      <c r="K25" s="60" t="s">
        <v>1031</v>
      </c>
      <c r="L25" s="60" t="s">
        <v>1033</v>
      </c>
      <c r="M25" s="60" t="s">
        <v>1034</v>
      </c>
      <c r="N25" s="62" t="s">
        <v>1035</v>
      </c>
      <c r="O25" s="59" t="s">
        <v>1037</v>
      </c>
      <c r="P25" s="59" t="s">
        <v>1038</v>
      </c>
      <c r="Q25" s="22"/>
      <c r="R25" s="55" t="s">
        <v>1040</v>
      </c>
      <c r="S25" s="22"/>
      <c r="T25" s="64" t="s">
        <v>309</v>
      </c>
      <c r="U25" s="64" t="s">
        <v>1044</v>
      </c>
      <c r="V25" s="65" t="s">
        <v>1046</v>
      </c>
      <c r="W25" s="22"/>
      <c r="X25" s="55" t="s">
        <v>184</v>
      </c>
    </row>
    <row r="26" ht="110.25" customHeight="1">
      <c r="A26" s="56" t="s">
        <v>119</v>
      </c>
      <c r="B26" s="57" t="s">
        <v>1053</v>
      </c>
      <c r="C26" s="55" t="s">
        <v>1055</v>
      </c>
      <c r="D26" s="55" t="s">
        <v>1056</v>
      </c>
      <c r="E26" s="55" t="s">
        <v>1057</v>
      </c>
      <c r="F26" s="36" t="s">
        <v>1059</v>
      </c>
      <c r="G26" s="36" t="s">
        <v>1061</v>
      </c>
      <c r="H26" s="59" t="s">
        <v>53</v>
      </c>
      <c r="I26" s="60" t="s">
        <v>1072</v>
      </c>
      <c r="J26" s="60" t="s">
        <v>1074</v>
      </c>
      <c r="K26" s="60" t="s">
        <v>1075</v>
      </c>
      <c r="L26" s="60" t="s">
        <v>1077</v>
      </c>
      <c r="M26" s="60" t="s">
        <v>1078</v>
      </c>
      <c r="N26" s="62" t="s">
        <v>1079</v>
      </c>
      <c r="O26" s="59" t="s">
        <v>1081</v>
      </c>
      <c r="P26" s="59" t="s">
        <v>1082</v>
      </c>
      <c r="Q26" s="36" t="s">
        <v>1083</v>
      </c>
      <c r="R26" s="55" t="s">
        <v>1086</v>
      </c>
      <c r="S26" s="36" t="s">
        <v>1089</v>
      </c>
      <c r="T26" s="64" t="s">
        <v>541</v>
      </c>
      <c r="U26" s="64" t="s">
        <v>1093</v>
      </c>
      <c r="V26" s="65" t="s">
        <v>1096</v>
      </c>
      <c r="W26" s="36" t="s">
        <v>1099</v>
      </c>
      <c r="X26" s="55" t="s">
        <v>184</v>
      </c>
    </row>
    <row r="27" ht="121.5" customHeight="1">
      <c r="A27" s="19"/>
      <c r="B27" s="19"/>
      <c r="C27" s="55" t="s">
        <v>1103</v>
      </c>
      <c r="D27" s="55" t="s">
        <v>1105</v>
      </c>
      <c r="E27" s="55" t="s">
        <v>1106</v>
      </c>
      <c r="F27" s="19"/>
      <c r="G27" s="19"/>
      <c r="H27" s="59" t="s">
        <v>22</v>
      </c>
      <c r="I27" s="60" t="s">
        <v>1109</v>
      </c>
      <c r="J27" s="60" t="s">
        <v>1110</v>
      </c>
      <c r="K27" s="60" t="s">
        <v>1112</v>
      </c>
      <c r="L27" s="60" t="s">
        <v>1114</v>
      </c>
      <c r="M27" s="60" t="s">
        <v>1116</v>
      </c>
      <c r="N27" s="62" t="s">
        <v>1117</v>
      </c>
      <c r="O27" s="59" t="s">
        <v>1119</v>
      </c>
      <c r="P27" s="59" t="s">
        <v>1121</v>
      </c>
      <c r="Q27" s="19"/>
      <c r="R27" s="55" t="s">
        <v>1126</v>
      </c>
      <c r="S27" s="19"/>
      <c r="T27" s="64" t="s">
        <v>664</v>
      </c>
      <c r="U27" s="64" t="s">
        <v>1129</v>
      </c>
      <c r="V27" s="65" t="s">
        <v>1131</v>
      </c>
      <c r="W27" s="19"/>
      <c r="X27" s="55" t="s">
        <v>1132</v>
      </c>
    </row>
    <row r="28" ht="177.0" customHeight="1">
      <c r="A28" s="19"/>
      <c r="B28" s="19"/>
      <c r="C28" s="55" t="s">
        <v>1134</v>
      </c>
      <c r="D28" s="55" t="s">
        <v>1135</v>
      </c>
      <c r="E28" s="55" t="s">
        <v>1136</v>
      </c>
      <c r="F28" s="19"/>
      <c r="G28" s="19"/>
      <c r="H28" s="59" t="s">
        <v>53</v>
      </c>
      <c r="I28" s="60" t="s">
        <v>1139</v>
      </c>
      <c r="J28" s="60" t="s">
        <v>1140</v>
      </c>
      <c r="K28" s="60" t="s">
        <v>1142</v>
      </c>
      <c r="L28" s="60" t="s">
        <v>1144</v>
      </c>
      <c r="M28" s="60" t="s">
        <v>1146</v>
      </c>
      <c r="N28" s="62" t="s">
        <v>1147</v>
      </c>
      <c r="O28" s="59" t="s">
        <v>1149</v>
      </c>
      <c r="P28" s="59" t="s">
        <v>1151</v>
      </c>
      <c r="Q28" s="19"/>
      <c r="R28" s="55" t="s">
        <v>1155</v>
      </c>
      <c r="S28" s="19"/>
      <c r="T28" s="64" t="s">
        <v>176</v>
      </c>
      <c r="U28" s="64" t="s">
        <v>1158</v>
      </c>
      <c r="V28" s="65" t="s">
        <v>1160</v>
      </c>
      <c r="W28" s="19"/>
      <c r="X28" s="55" t="s">
        <v>184</v>
      </c>
    </row>
    <row r="29" ht="112.5" customHeight="1">
      <c r="A29" s="19"/>
      <c r="B29" s="19"/>
      <c r="C29" s="55" t="s">
        <v>1162</v>
      </c>
      <c r="D29" s="55" t="s">
        <v>1164</v>
      </c>
      <c r="E29" s="55" t="s">
        <v>1165</v>
      </c>
      <c r="F29" s="19"/>
      <c r="G29" s="19"/>
      <c r="H29" s="59" t="s">
        <v>53</v>
      </c>
      <c r="I29" s="60" t="s">
        <v>1168</v>
      </c>
      <c r="J29" s="60" t="s">
        <v>1169</v>
      </c>
      <c r="K29" s="60" t="s">
        <v>1170</v>
      </c>
      <c r="L29" s="60" t="s">
        <v>1171</v>
      </c>
      <c r="M29" s="60" t="s">
        <v>1172</v>
      </c>
      <c r="N29" s="62" t="s">
        <v>1174</v>
      </c>
      <c r="O29" s="59" t="s">
        <v>1176</v>
      </c>
      <c r="P29" s="59" t="s">
        <v>1178</v>
      </c>
      <c r="Q29" s="19"/>
      <c r="R29" s="55" t="s">
        <v>1185</v>
      </c>
      <c r="S29" s="19"/>
      <c r="T29" s="64" t="s">
        <v>664</v>
      </c>
      <c r="U29" s="64" t="s">
        <v>1188</v>
      </c>
      <c r="V29" s="65" t="s">
        <v>1189</v>
      </c>
      <c r="W29" s="19"/>
      <c r="X29" s="55" t="s">
        <v>184</v>
      </c>
    </row>
    <row r="30" ht="120.0" customHeight="1">
      <c r="A30" s="19"/>
      <c r="B30" s="19"/>
      <c r="C30" s="59" t="s">
        <v>1192</v>
      </c>
      <c r="D30" s="59" t="s">
        <v>1193</v>
      </c>
      <c r="E30" s="59" t="s">
        <v>1194</v>
      </c>
      <c r="F30" s="19"/>
      <c r="G30" s="19"/>
      <c r="H30" s="59" t="s">
        <v>77</v>
      </c>
      <c r="I30" s="60" t="s">
        <v>1197</v>
      </c>
      <c r="J30" s="60" t="s">
        <v>1198</v>
      </c>
      <c r="K30" s="60" t="s">
        <v>1199</v>
      </c>
      <c r="L30" s="60" t="s">
        <v>1200</v>
      </c>
      <c r="M30" s="60" t="s">
        <v>1201</v>
      </c>
      <c r="N30" s="62" t="s">
        <v>1202</v>
      </c>
      <c r="O30" s="59" t="s">
        <v>1203</v>
      </c>
      <c r="P30" s="59" t="s">
        <v>1204</v>
      </c>
      <c r="Q30" s="19"/>
      <c r="R30" s="59" t="s">
        <v>1205</v>
      </c>
      <c r="S30" s="19"/>
      <c r="T30" s="64" t="s">
        <v>213</v>
      </c>
      <c r="U30" s="64" t="s">
        <v>1208</v>
      </c>
      <c r="V30" s="65" t="s">
        <v>1210</v>
      </c>
      <c r="W30" s="19"/>
      <c r="X30" s="78" t="s">
        <v>1212</v>
      </c>
    </row>
    <row r="31" ht="78.0" customHeight="1">
      <c r="A31" s="22"/>
      <c r="B31" s="22"/>
      <c r="C31" s="59" t="s">
        <v>1215</v>
      </c>
      <c r="D31" s="59" t="s">
        <v>1216</v>
      </c>
      <c r="E31" s="59" t="s">
        <v>1219</v>
      </c>
      <c r="F31" s="19"/>
      <c r="G31" s="19"/>
      <c r="H31" s="59" t="s">
        <v>22</v>
      </c>
      <c r="I31" s="60" t="s">
        <v>1221</v>
      </c>
      <c r="J31" s="60" t="s">
        <v>1222</v>
      </c>
      <c r="K31" s="60" t="s">
        <v>1225</v>
      </c>
      <c r="L31" s="60" t="s">
        <v>1226</v>
      </c>
      <c r="M31" s="60" t="s">
        <v>1227</v>
      </c>
      <c r="N31" s="62" t="s">
        <v>1229</v>
      </c>
      <c r="O31" s="59" t="s">
        <v>1231</v>
      </c>
      <c r="P31" s="59" t="s">
        <v>1233</v>
      </c>
      <c r="Q31" s="19"/>
      <c r="R31" s="59" t="s">
        <v>1236</v>
      </c>
      <c r="S31" s="19"/>
      <c r="T31" s="64" t="s">
        <v>176</v>
      </c>
      <c r="U31" s="64" t="s">
        <v>1242</v>
      </c>
      <c r="V31" s="65" t="s">
        <v>1245</v>
      </c>
      <c r="W31" s="19"/>
      <c r="X31" s="78" t="s">
        <v>869</v>
      </c>
    </row>
    <row r="32" ht="115.5" customHeight="1">
      <c r="A32" s="83" t="s">
        <v>114</v>
      </c>
      <c r="B32" s="77" t="s">
        <v>1261</v>
      </c>
      <c r="C32" s="59" t="s">
        <v>1264</v>
      </c>
      <c r="D32" s="59" t="s">
        <v>1267</v>
      </c>
      <c r="E32" s="59" t="s">
        <v>1270</v>
      </c>
      <c r="F32" s="36" t="s">
        <v>1271</v>
      </c>
      <c r="G32" s="36" t="s">
        <v>1277</v>
      </c>
      <c r="H32" s="59" t="s">
        <v>53</v>
      </c>
      <c r="I32" s="60" t="s">
        <v>1283</v>
      </c>
      <c r="J32" s="60" t="s">
        <v>1285</v>
      </c>
      <c r="K32" s="60" t="s">
        <v>1288</v>
      </c>
      <c r="L32" s="60" t="s">
        <v>1290</v>
      </c>
      <c r="M32" s="60" t="s">
        <v>1293</v>
      </c>
      <c r="N32" s="62" t="s">
        <v>1295</v>
      </c>
      <c r="O32" s="59" t="s">
        <v>1298</v>
      </c>
      <c r="P32" s="59" t="s">
        <v>1301</v>
      </c>
      <c r="Q32" s="36" t="s">
        <v>1304</v>
      </c>
      <c r="R32" s="59" t="s">
        <v>1313</v>
      </c>
      <c r="S32" s="36" t="s">
        <v>1317</v>
      </c>
      <c r="T32" s="64" t="s">
        <v>509</v>
      </c>
      <c r="U32" s="64" t="s">
        <v>1323</v>
      </c>
      <c r="V32" s="65" t="s">
        <v>1325</v>
      </c>
      <c r="W32" s="36" t="s">
        <v>1331</v>
      </c>
      <c r="X32" s="78" t="s">
        <v>869</v>
      </c>
    </row>
    <row r="33" ht="102.0" customHeight="1">
      <c r="A33" s="19"/>
      <c r="B33" s="19"/>
      <c r="C33" s="59" t="s">
        <v>1339</v>
      </c>
      <c r="D33" s="59" t="s">
        <v>1341</v>
      </c>
      <c r="E33" s="59" t="s">
        <v>1345</v>
      </c>
      <c r="F33" s="19"/>
      <c r="G33" s="19"/>
      <c r="H33" s="59" t="s">
        <v>22</v>
      </c>
      <c r="I33" s="60" t="s">
        <v>1353</v>
      </c>
      <c r="J33" s="60" t="s">
        <v>1355</v>
      </c>
      <c r="K33" s="60" t="s">
        <v>1358</v>
      </c>
      <c r="L33" s="60" t="s">
        <v>1361</v>
      </c>
      <c r="M33" s="60" t="s">
        <v>1364</v>
      </c>
      <c r="N33" s="62" t="s">
        <v>1366</v>
      </c>
      <c r="O33" s="59" t="s">
        <v>1369</v>
      </c>
      <c r="P33" s="59" t="s">
        <v>1371</v>
      </c>
      <c r="Q33" s="19"/>
      <c r="R33" s="59" t="s">
        <v>1374</v>
      </c>
      <c r="S33" s="19"/>
      <c r="T33" s="64" t="s">
        <v>929</v>
      </c>
      <c r="U33" s="64" t="s">
        <v>1378</v>
      </c>
      <c r="V33" s="65" t="s">
        <v>1380</v>
      </c>
      <c r="W33" s="19"/>
      <c r="X33" s="78" t="s">
        <v>869</v>
      </c>
    </row>
    <row r="34" ht="105.0" customHeight="1">
      <c r="A34" s="22"/>
      <c r="B34" s="22"/>
      <c r="C34" s="59" t="s">
        <v>1384</v>
      </c>
      <c r="D34" s="59" t="s">
        <v>1387</v>
      </c>
      <c r="E34" s="59" t="s">
        <v>1389</v>
      </c>
      <c r="F34" s="22"/>
      <c r="G34" s="22"/>
      <c r="H34" s="59" t="s">
        <v>53</v>
      </c>
      <c r="I34" s="60" t="s">
        <v>1396</v>
      </c>
      <c r="J34" s="60" t="s">
        <v>1399</v>
      </c>
      <c r="K34" s="60" t="s">
        <v>1401</v>
      </c>
      <c r="L34" s="60" t="s">
        <v>1404</v>
      </c>
      <c r="M34" s="60" t="s">
        <v>1406</v>
      </c>
      <c r="N34" s="62" t="s">
        <v>1410</v>
      </c>
      <c r="O34" s="59" t="s">
        <v>1413</v>
      </c>
      <c r="P34" s="59" t="s">
        <v>1414</v>
      </c>
      <c r="Q34" s="22"/>
      <c r="R34" s="59" t="s">
        <v>1417</v>
      </c>
      <c r="S34" s="22"/>
      <c r="T34" s="64" t="s">
        <v>176</v>
      </c>
      <c r="U34" s="64" t="s">
        <v>1421</v>
      </c>
      <c r="V34" s="65" t="s">
        <v>1422</v>
      </c>
      <c r="W34" s="22"/>
      <c r="X34" s="78" t="s">
        <v>1212</v>
      </c>
    </row>
    <row r="35" ht="15.75" customHeight="1"/>
    <row r="36" ht="15.75" customHeight="1">
      <c r="B36" s="84" t="s">
        <v>1429</v>
      </c>
      <c r="C36" s="86"/>
      <c r="D36" s="87" t="s">
        <v>1431</v>
      </c>
    </row>
    <row r="37" ht="15.75" customHeight="1">
      <c r="C37" s="88"/>
      <c r="D37" s="87" t="s">
        <v>1432</v>
      </c>
    </row>
    <row r="38" ht="15.75" customHeight="1">
      <c r="C38" s="89"/>
      <c r="D38" s="87" t="s">
        <v>1433</v>
      </c>
    </row>
    <row r="39" ht="15.75" customHeight="1">
      <c r="C39" s="90"/>
      <c r="D39" s="87" t="s">
        <v>1434</v>
      </c>
    </row>
    <row r="40" ht="15.75" customHeight="1">
      <c r="C40" s="91"/>
      <c r="D40" s="87" t="s">
        <v>1435</v>
      </c>
    </row>
    <row r="41" ht="15.75" customHeight="1">
      <c r="C41" s="92"/>
      <c r="D41" s="87" t="s">
        <v>74</v>
      </c>
    </row>
    <row r="42" ht="15.75" customHeight="1">
      <c r="C42" s="93"/>
      <c r="D42" s="87" t="s">
        <v>1436</v>
      </c>
    </row>
    <row r="43" ht="15.75" customHeight="1">
      <c r="D43" s="94" t="s">
        <v>1437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sheetData>
  <mergeCells count="69">
    <mergeCell ref="S3:S8"/>
    <mergeCell ref="S9:S13"/>
    <mergeCell ref="S1:S2"/>
    <mergeCell ref="T1:T2"/>
    <mergeCell ref="U1:U2"/>
    <mergeCell ref="V1:V2"/>
    <mergeCell ref="X1:X2"/>
    <mergeCell ref="Q3:Q8"/>
    <mergeCell ref="W9:W13"/>
    <mergeCell ref="S24:S25"/>
    <mergeCell ref="S26:S31"/>
    <mergeCell ref="Q9:Q13"/>
    <mergeCell ref="Q14:Q17"/>
    <mergeCell ref="S14:S17"/>
    <mergeCell ref="Q18:Q23"/>
    <mergeCell ref="S18:S23"/>
    <mergeCell ref="Q24:Q25"/>
    <mergeCell ref="Q26:Q31"/>
    <mergeCell ref="H1:H2"/>
    <mergeCell ref="I1:M1"/>
    <mergeCell ref="N1:N2"/>
    <mergeCell ref="O1:O2"/>
    <mergeCell ref="P1:P2"/>
    <mergeCell ref="Q1:Q2"/>
    <mergeCell ref="R1:R2"/>
    <mergeCell ref="A1:A2"/>
    <mergeCell ref="B1:B2"/>
    <mergeCell ref="C1:C2"/>
    <mergeCell ref="D1:D2"/>
    <mergeCell ref="E1:E2"/>
    <mergeCell ref="F1:F2"/>
    <mergeCell ref="G1:G2"/>
    <mergeCell ref="W1:W2"/>
    <mergeCell ref="W3:W8"/>
    <mergeCell ref="W14:W17"/>
    <mergeCell ref="W18:W23"/>
    <mergeCell ref="W24:W25"/>
    <mergeCell ref="W26:W31"/>
    <mergeCell ref="W32:W34"/>
    <mergeCell ref="A3:A8"/>
    <mergeCell ref="B3:B8"/>
    <mergeCell ref="F3:F8"/>
    <mergeCell ref="G3:G8"/>
    <mergeCell ref="B9:B13"/>
    <mergeCell ref="F9:F13"/>
    <mergeCell ref="G9:G13"/>
    <mergeCell ref="A26:A31"/>
    <mergeCell ref="B26:B31"/>
    <mergeCell ref="A32:A34"/>
    <mergeCell ref="B32:B34"/>
    <mergeCell ref="A9:A13"/>
    <mergeCell ref="A14:A17"/>
    <mergeCell ref="B14:B17"/>
    <mergeCell ref="A18:A23"/>
    <mergeCell ref="B20:B23"/>
    <mergeCell ref="A24:A25"/>
    <mergeCell ref="B24:B25"/>
    <mergeCell ref="F26:F31"/>
    <mergeCell ref="F32:F34"/>
    <mergeCell ref="Q32:Q34"/>
    <mergeCell ref="S32:S34"/>
    <mergeCell ref="F14:F17"/>
    <mergeCell ref="G14:G17"/>
    <mergeCell ref="F18:F23"/>
    <mergeCell ref="G18:G23"/>
    <mergeCell ref="F24:F25"/>
    <mergeCell ref="G24:G25"/>
    <mergeCell ref="G26:G31"/>
    <mergeCell ref="G32:G34"/>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60.0"/>
    <col customWidth="1" min="5" max="5" width="22.0"/>
    <col customWidth="1" min="6" max="26" width="8.71"/>
  </cols>
  <sheetData>
    <row r="1" ht="30.0" customHeight="1">
      <c r="A1" s="7" t="s">
        <v>1</v>
      </c>
      <c r="B1" s="7" t="s">
        <v>8</v>
      </c>
      <c r="C1" s="7" t="s">
        <v>10</v>
      </c>
      <c r="D1" s="7" t="s">
        <v>11</v>
      </c>
      <c r="E1" s="7" t="s">
        <v>14</v>
      </c>
    </row>
    <row r="2" ht="43.5" customHeight="1">
      <c r="A2" s="8" t="s">
        <v>19</v>
      </c>
      <c r="B2" s="10" t="s">
        <v>22</v>
      </c>
      <c r="C2" s="10" t="s">
        <v>24</v>
      </c>
      <c r="D2" s="10" t="s">
        <v>26</v>
      </c>
      <c r="E2" s="10" t="s">
        <v>27</v>
      </c>
    </row>
    <row r="3" ht="43.5" customHeight="1">
      <c r="A3" s="8" t="s">
        <v>28</v>
      </c>
      <c r="B3" s="10" t="s">
        <v>22</v>
      </c>
      <c r="C3" s="10" t="s">
        <v>29</v>
      </c>
      <c r="D3" s="10" t="s">
        <v>30</v>
      </c>
      <c r="E3" s="10" t="s">
        <v>31</v>
      </c>
    </row>
    <row r="4" ht="43.5" customHeight="1">
      <c r="A4" s="8" t="s">
        <v>32</v>
      </c>
      <c r="B4" s="10" t="s">
        <v>22</v>
      </c>
      <c r="C4" s="10" t="s">
        <v>33</v>
      </c>
      <c r="D4" s="10" t="s">
        <v>34</v>
      </c>
      <c r="E4" s="10" t="s">
        <v>35</v>
      </c>
    </row>
    <row r="5" ht="43.5" customHeight="1">
      <c r="A5" s="8" t="s">
        <v>36</v>
      </c>
      <c r="B5" s="10" t="s">
        <v>22</v>
      </c>
      <c r="C5" s="10" t="s">
        <v>37</v>
      </c>
      <c r="D5" s="10" t="s">
        <v>38</v>
      </c>
      <c r="E5" s="10" t="s">
        <v>39</v>
      </c>
    </row>
    <row r="6" ht="43.5" customHeight="1">
      <c r="A6" s="8" t="s">
        <v>40</v>
      </c>
      <c r="B6" s="10" t="s">
        <v>22</v>
      </c>
      <c r="C6" s="10" t="s">
        <v>43</v>
      </c>
      <c r="D6" s="10" t="s">
        <v>44</v>
      </c>
      <c r="E6" s="10" t="s">
        <v>45</v>
      </c>
    </row>
    <row r="7" ht="43.5" customHeight="1">
      <c r="A7" s="8" t="s">
        <v>47</v>
      </c>
      <c r="B7" s="10" t="s">
        <v>22</v>
      </c>
      <c r="C7" s="10" t="s">
        <v>48</v>
      </c>
      <c r="D7" s="10" t="s">
        <v>50</v>
      </c>
      <c r="E7" s="10" t="s">
        <v>51</v>
      </c>
    </row>
    <row r="8" ht="43.5" customHeight="1">
      <c r="A8" s="8" t="s">
        <v>52</v>
      </c>
      <c r="B8" s="10" t="s">
        <v>53</v>
      </c>
      <c r="C8" s="10" t="s">
        <v>54</v>
      </c>
      <c r="D8" s="10" t="s">
        <v>56</v>
      </c>
      <c r="E8" s="10" t="s">
        <v>45</v>
      </c>
    </row>
    <row r="9" ht="43.5" customHeight="1">
      <c r="A9" s="8" t="s">
        <v>59</v>
      </c>
      <c r="B9" s="10" t="s">
        <v>53</v>
      </c>
      <c r="C9" s="10" t="s">
        <v>61</v>
      </c>
      <c r="D9" s="10" t="s">
        <v>62</v>
      </c>
      <c r="E9" s="10" t="s">
        <v>63</v>
      </c>
    </row>
    <row r="10" ht="43.5" customHeight="1">
      <c r="A10" s="8" t="s">
        <v>66</v>
      </c>
      <c r="B10" s="10" t="s">
        <v>53</v>
      </c>
      <c r="C10" s="10" t="s">
        <v>67</v>
      </c>
      <c r="D10" s="10" t="s">
        <v>70</v>
      </c>
      <c r="E10" s="10" t="s">
        <v>71</v>
      </c>
    </row>
    <row r="11" ht="43.5" customHeight="1">
      <c r="A11" s="8" t="s">
        <v>72</v>
      </c>
      <c r="B11" s="10" t="s">
        <v>53</v>
      </c>
      <c r="C11" s="10" t="s">
        <v>73</v>
      </c>
      <c r="D11" s="10" t="s">
        <v>75</v>
      </c>
      <c r="E11" s="10" t="s">
        <v>63</v>
      </c>
    </row>
    <row r="12" ht="43.5" customHeight="1">
      <c r="A12" s="8" t="s">
        <v>76</v>
      </c>
      <c r="B12" s="10" t="s">
        <v>77</v>
      </c>
      <c r="C12" s="10" t="s">
        <v>79</v>
      </c>
      <c r="D12" s="10" t="s">
        <v>80</v>
      </c>
      <c r="E12" s="10" t="s">
        <v>71</v>
      </c>
    </row>
    <row r="13" ht="43.5" customHeight="1">
      <c r="A13" s="8" t="s">
        <v>82</v>
      </c>
      <c r="B13" s="10" t="s">
        <v>77</v>
      </c>
      <c r="C13" s="10" t="s">
        <v>84</v>
      </c>
      <c r="D13" s="10" t="s">
        <v>85</v>
      </c>
      <c r="E13" s="10" t="s">
        <v>71</v>
      </c>
    </row>
    <row r="14" ht="43.5" customHeight="1">
      <c r="A14" s="8" t="s">
        <v>86</v>
      </c>
      <c r="B14" s="10" t="s">
        <v>77</v>
      </c>
      <c r="C14" s="10" t="s">
        <v>87</v>
      </c>
      <c r="D14" s="10" t="s">
        <v>88</v>
      </c>
      <c r="E14" s="10" t="s">
        <v>63</v>
      </c>
    </row>
    <row r="15" ht="43.5" customHeight="1">
      <c r="A15" s="8" t="s">
        <v>91</v>
      </c>
      <c r="B15" s="10" t="s">
        <v>77</v>
      </c>
      <c r="C15" s="10" t="s">
        <v>94</v>
      </c>
      <c r="D15" s="10" t="s">
        <v>95</v>
      </c>
      <c r="E15" s="10" t="s">
        <v>96</v>
      </c>
    </row>
    <row r="16" ht="43.5" customHeight="1">
      <c r="A16" s="8" t="s">
        <v>97</v>
      </c>
      <c r="B16" s="10" t="s">
        <v>77</v>
      </c>
      <c r="C16" s="10" t="s">
        <v>99</v>
      </c>
      <c r="D16" s="10" t="s">
        <v>100</v>
      </c>
      <c r="E16" s="10" t="s">
        <v>96</v>
      </c>
    </row>
    <row r="18">
      <c r="A18" s="1" t="s">
        <v>103</v>
      </c>
    </row>
    <row r="19" ht="19.5" customHeight="1">
      <c r="A19" s="25" t="s">
        <v>105</v>
      </c>
      <c r="B19" s="10" t="s">
        <v>110</v>
      </c>
      <c r="C19" s="26" t="s">
        <v>111</v>
      </c>
      <c r="D19" s="13"/>
      <c r="E19" s="14"/>
    </row>
    <row r="20" ht="19.5" customHeight="1">
      <c r="A20" s="25" t="s">
        <v>115</v>
      </c>
      <c r="B20" s="10" t="s">
        <v>116</v>
      </c>
      <c r="C20" s="26" t="s">
        <v>118</v>
      </c>
      <c r="D20" s="13"/>
      <c r="E20" s="14"/>
    </row>
    <row r="21" ht="19.5" customHeight="1">
      <c r="A21" s="25" t="s">
        <v>121</v>
      </c>
      <c r="B21" s="10" t="s">
        <v>122</v>
      </c>
      <c r="C21" s="26" t="s">
        <v>124</v>
      </c>
      <c r="D21" s="13"/>
      <c r="E21" s="14"/>
    </row>
    <row r="22" ht="19.5" customHeight="1">
      <c r="A22" s="25" t="s">
        <v>126</v>
      </c>
      <c r="B22" s="10" t="s">
        <v>128</v>
      </c>
      <c r="C22" s="26" t="s">
        <v>130</v>
      </c>
      <c r="D22" s="13"/>
      <c r="E22" s="14"/>
    </row>
    <row r="23" ht="19.5" customHeight="1">
      <c r="A23" s="25" t="s">
        <v>135</v>
      </c>
      <c r="B23" s="10" t="s">
        <v>136</v>
      </c>
      <c r="C23" s="26" t="s">
        <v>138</v>
      </c>
      <c r="D23" s="13"/>
      <c r="E23" s="14"/>
    </row>
    <row r="24" ht="15.75" customHeight="1"/>
    <row r="25" ht="30.0" customHeight="1">
      <c r="A25" s="35" t="s">
        <v>143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9:E19"/>
    <mergeCell ref="C20:E20"/>
    <mergeCell ref="C21:E21"/>
    <mergeCell ref="C22:E22"/>
    <mergeCell ref="C23:E23"/>
    <mergeCell ref="A25:E25"/>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4.0"/>
    <col customWidth="1" min="3" max="3" width="26.0"/>
    <col customWidth="1" min="4" max="4" width="44.0"/>
    <col customWidth="1" min="5" max="5" width="34.0"/>
    <col customWidth="1" min="6" max="6" width="12.0"/>
    <col customWidth="1" min="7" max="26" width="8.71"/>
  </cols>
  <sheetData>
    <row r="1">
      <c r="A1" s="1" t="s">
        <v>562</v>
      </c>
    </row>
    <row r="2" ht="19.5" customHeight="1">
      <c r="A2" s="70" t="s">
        <v>567</v>
      </c>
    </row>
    <row r="3" ht="19.5" customHeight="1">
      <c r="A3" s="70" t="s">
        <v>575</v>
      </c>
    </row>
    <row r="4" ht="19.5" customHeight="1">
      <c r="A4" s="70" t="s">
        <v>583</v>
      </c>
    </row>
    <row r="5" ht="19.5" customHeight="1">
      <c r="A5" s="70" t="s">
        <v>588</v>
      </c>
    </row>
    <row r="6" ht="19.5" customHeight="1">
      <c r="A6" s="70" t="s">
        <v>592</v>
      </c>
    </row>
    <row r="8">
      <c r="A8" s="1" t="s">
        <v>596</v>
      </c>
    </row>
    <row r="9" ht="30.0" customHeight="1">
      <c r="A9" s="73" t="s">
        <v>599</v>
      </c>
      <c r="B9" s="73" t="s">
        <v>603</v>
      </c>
      <c r="C9" s="73" t="s">
        <v>14</v>
      </c>
      <c r="D9" s="73" t="s">
        <v>607</v>
      </c>
      <c r="E9" s="73" t="s">
        <v>608</v>
      </c>
      <c r="F9" s="73" t="s">
        <v>610</v>
      </c>
    </row>
    <row r="10" ht="48.0" customHeight="1">
      <c r="A10" s="74" t="s">
        <v>616</v>
      </c>
      <c r="B10" s="10" t="s">
        <v>622</v>
      </c>
      <c r="C10" s="10" t="s">
        <v>63</v>
      </c>
      <c r="D10" s="10" t="s">
        <v>625</v>
      </c>
      <c r="E10" s="10" t="s">
        <v>628</v>
      </c>
      <c r="F10" s="10">
        <v>57.0</v>
      </c>
    </row>
    <row r="11" ht="48.0" customHeight="1">
      <c r="A11" s="74" t="s">
        <v>632</v>
      </c>
      <c r="B11" s="10" t="s">
        <v>633</v>
      </c>
      <c r="C11" s="10" t="s">
        <v>96</v>
      </c>
      <c r="D11" s="10" t="s">
        <v>635</v>
      </c>
      <c r="E11" s="10" t="s">
        <v>638</v>
      </c>
      <c r="F11" s="10">
        <v>67.0</v>
      </c>
    </row>
    <row r="12" ht="48.0" customHeight="1">
      <c r="A12" s="74" t="s">
        <v>643</v>
      </c>
      <c r="B12" s="10" t="s">
        <v>645</v>
      </c>
      <c r="C12" s="10" t="s">
        <v>63</v>
      </c>
      <c r="D12" s="10" t="s">
        <v>648</v>
      </c>
      <c r="E12" s="10" t="s">
        <v>652</v>
      </c>
      <c r="F12" s="10">
        <v>65.0</v>
      </c>
    </row>
    <row r="13" ht="48.0" customHeight="1">
      <c r="A13" s="74" t="s">
        <v>655</v>
      </c>
      <c r="B13" s="10" t="s">
        <v>656</v>
      </c>
      <c r="C13" s="10" t="s">
        <v>63</v>
      </c>
      <c r="D13" s="10" t="s">
        <v>660</v>
      </c>
      <c r="E13" s="10" t="s">
        <v>663</v>
      </c>
      <c r="F13" s="10">
        <v>78.0</v>
      </c>
    </row>
    <row r="15">
      <c r="A15" s="1" t="s">
        <v>670</v>
      </c>
    </row>
    <row r="16" ht="30.0" customHeight="1">
      <c r="A16" s="75" t="s">
        <v>599</v>
      </c>
      <c r="B16" s="75" t="s">
        <v>603</v>
      </c>
      <c r="C16" s="75" t="s">
        <v>679</v>
      </c>
      <c r="D16" s="75" t="s">
        <v>607</v>
      </c>
      <c r="E16" s="75"/>
      <c r="F16" s="75" t="s">
        <v>610</v>
      </c>
    </row>
    <row r="17" ht="55.5" customHeight="1">
      <c r="A17" s="76" t="s">
        <v>683</v>
      </c>
      <c r="B17" s="10" t="s">
        <v>689</v>
      </c>
      <c r="C17" s="10" t="s">
        <v>691</v>
      </c>
      <c r="D17" s="10" t="s">
        <v>693</v>
      </c>
      <c r="E17" s="10"/>
      <c r="F17" s="10">
        <v>88.0</v>
      </c>
    </row>
    <row r="18" ht="55.5" customHeight="1">
      <c r="A18" s="76" t="s">
        <v>700</v>
      </c>
      <c r="B18" s="10" t="s">
        <v>701</v>
      </c>
      <c r="C18" s="10" t="s">
        <v>706</v>
      </c>
      <c r="D18" s="10" t="s">
        <v>710</v>
      </c>
      <c r="E18" s="10"/>
      <c r="F18" s="10">
        <v>85.0</v>
      </c>
    </row>
    <row r="19" ht="55.5" customHeight="1">
      <c r="A19" s="76" t="s">
        <v>714</v>
      </c>
      <c r="B19" s="10" t="s">
        <v>718</v>
      </c>
      <c r="C19" s="10" t="s">
        <v>720</v>
      </c>
      <c r="D19" s="10" t="s">
        <v>722</v>
      </c>
      <c r="E19" s="10"/>
      <c r="F19" s="10">
        <v>94.0</v>
      </c>
    </row>
    <row r="21" ht="15.75" customHeight="1">
      <c r="A21" s="1" t="s">
        <v>728</v>
      </c>
    </row>
    <row r="22" ht="15.75" customHeight="1">
      <c r="A22" s="7" t="s">
        <v>732</v>
      </c>
      <c r="B22" s="7" t="s">
        <v>736</v>
      </c>
      <c r="C22" s="7"/>
      <c r="D22" s="7"/>
      <c r="E22" s="7"/>
      <c r="F22" s="7"/>
    </row>
    <row r="23" ht="19.5" customHeight="1">
      <c r="A23" s="25" t="s">
        <v>743</v>
      </c>
      <c r="B23" s="26" t="s">
        <v>744</v>
      </c>
      <c r="C23" s="13"/>
      <c r="D23" s="13"/>
      <c r="E23" s="13"/>
      <c r="F23" s="14"/>
    </row>
    <row r="24" ht="19.5" customHeight="1">
      <c r="A24" s="25" t="s">
        <v>754</v>
      </c>
      <c r="B24" s="26" t="s">
        <v>755</v>
      </c>
      <c r="C24" s="13"/>
      <c r="D24" s="13"/>
      <c r="E24" s="13"/>
      <c r="F24" s="14"/>
    </row>
    <row r="25" ht="19.5" customHeight="1">
      <c r="A25" s="25" t="s">
        <v>764</v>
      </c>
      <c r="B25" s="26" t="s">
        <v>767</v>
      </c>
      <c r="C25" s="13"/>
      <c r="D25" s="13"/>
      <c r="E25" s="13"/>
      <c r="F25" s="1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2.0"/>
    <col customWidth="1" min="3" max="4" width="40.0"/>
    <col customWidth="1" min="5" max="5" width="70.0"/>
    <col customWidth="1" min="6" max="26" width="8.71"/>
  </cols>
  <sheetData>
    <row r="1" ht="30.0" customHeight="1">
      <c r="A1" s="7" t="s">
        <v>1</v>
      </c>
      <c r="B1" s="7" t="s">
        <v>1207</v>
      </c>
      <c r="C1" s="7" t="s">
        <v>1209</v>
      </c>
      <c r="D1" s="7" t="s">
        <v>1211</v>
      </c>
      <c r="E1" s="7" t="s">
        <v>1213</v>
      </c>
    </row>
    <row r="2" ht="55.5" customHeight="1">
      <c r="A2" s="81" t="s">
        <v>1217</v>
      </c>
      <c r="B2" s="10" t="s">
        <v>1224</v>
      </c>
      <c r="C2" s="82" t="s">
        <v>1228</v>
      </c>
      <c r="D2" s="10" t="s">
        <v>1232</v>
      </c>
      <c r="E2" s="10" t="s">
        <v>1234</v>
      </c>
    </row>
    <row r="3" ht="69.75" customHeight="1">
      <c r="A3" s="81" t="s">
        <v>1237</v>
      </c>
      <c r="B3" s="10" t="s">
        <v>1224</v>
      </c>
      <c r="C3" s="82" t="s">
        <v>1241</v>
      </c>
      <c r="D3" s="10" t="s">
        <v>1244</v>
      </c>
      <c r="E3" s="10" t="s">
        <v>1247</v>
      </c>
    </row>
    <row r="4" ht="69.75" customHeight="1">
      <c r="A4" s="81" t="s">
        <v>1250</v>
      </c>
      <c r="B4" s="10" t="s">
        <v>1224</v>
      </c>
      <c r="C4" s="82" t="s">
        <v>1252</v>
      </c>
      <c r="D4" s="10" t="s">
        <v>1253</v>
      </c>
      <c r="E4" s="10" t="s">
        <v>1254</v>
      </c>
    </row>
    <row r="5" ht="30.0" customHeight="1">
      <c r="A5" s="81" t="s">
        <v>1256</v>
      </c>
      <c r="B5" s="10" t="s">
        <v>1258</v>
      </c>
      <c r="C5" s="82" t="s">
        <v>1259</v>
      </c>
      <c r="D5" s="10" t="s">
        <v>1260</v>
      </c>
      <c r="E5" s="10" t="s">
        <v>1262</v>
      </c>
    </row>
    <row r="6" ht="42.0" customHeight="1">
      <c r="A6" s="81" t="s">
        <v>1263</v>
      </c>
      <c r="B6" s="10" t="s">
        <v>1258</v>
      </c>
      <c r="C6" s="82" t="s">
        <v>1265</v>
      </c>
      <c r="D6" s="10" t="s">
        <v>1266</v>
      </c>
      <c r="E6" s="10" t="s">
        <v>1269</v>
      </c>
    </row>
    <row r="7" ht="42.0" customHeight="1">
      <c r="A7" s="81" t="s">
        <v>1272</v>
      </c>
      <c r="B7" s="10" t="s">
        <v>1258</v>
      </c>
      <c r="C7" s="82" t="s">
        <v>1273</v>
      </c>
      <c r="D7" s="10" t="s">
        <v>1274</v>
      </c>
      <c r="E7" s="10" t="s">
        <v>1276</v>
      </c>
    </row>
    <row r="8" ht="42.0" customHeight="1">
      <c r="A8" s="81" t="s">
        <v>1279</v>
      </c>
      <c r="B8" s="10" t="s">
        <v>1258</v>
      </c>
      <c r="C8" s="82" t="s">
        <v>1280</v>
      </c>
      <c r="D8" s="10" t="s">
        <v>1281</v>
      </c>
      <c r="E8" s="10" t="s">
        <v>1282</v>
      </c>
    </row>
    <row r="9" ht="30.0" customHeight="1">
      <c r="A9" s="81" t="s">
        <v>1287</v>
      </c>
      <c r="B9" s="10" t="s">
        <v>1258</v>
      </c>
      <c r="C9" s="82" t="s">
        <v>1291</v>
      </c>
      <c r="D9" s="10" t="s">
        <v>1292</v>
      </c>
      <c r="E9" s="10" t="s">
        <v>1294</v>
      </c>
    </row>
    <row r="10" ht="30.0" customHeight="1">
      <c r="A10" s="81" t="s">
        <v>1299</v>
      </c>
      <c r="B10" s="10" t="s">
        <v>1258</v>
      </c>
      <c r="C10" s="82" t="s">
        <v>1302</v>
      </c>
      <c r="D10" s="10" t="s">
        <v>1305</v>
      </c>
      <c r="E10" s="10" t="s">
        <v>1307</v>
      </c>
    </row>
    <row r="11" ht="42.0" customHeight="1">
      <c r="A11" s="81" t="s">
        <v>1310</v>
      </c>
      <c r="B11" s="10" t="s">
        <v>1311</v>
      </c>
      <c r="C11" s="82" t="s">
        <v>1314</v>
      </c>
      <c r="D11" s="10" t="s">
        <v>1315</v>
      </c>
      <c r="E11" s="10" t="s">
        <v>1318</v>
      </c>
    </row>
    <row r="12" ht="42.0" customHeight="1">
      <c r="A12" s="81" t="s">
        <v>1319</v>
      </c>
      <c r="B12" s="10" t="s">
        <v>1311</v>
      </c>
      <c r="C12" s="82" t="s">
        <v>1321</v>
      </c>
      <c r="D12" s="10" t="s">
        <v>1322</v>
      </c>
      <c r="E12" s="10" t="s">
        <v>1324</v>
      </c>
    </row>
    <row r="13" ht="30.0" customHeight="1">
      <c r="A13" s="81" t="s">
        <v>1327</v>
      </c>
      <c r="B13" s="10" t="s">
        <v>1311</v>
      </c>
      <c r="C13" s="82" t="s">
        <v>1329</v>
      </c>
      <c r="D13" s="10" t="s">
        <v>1330</v>
      </c>
      <c r="E13" s="10" t="s">
        <v>1332</v>
      </c>
    </row>
    <row r="14" ht="84.0" customHeight="1">
      <c r="A14" s="81" t="s">
        <v>1334</v>
      </c>
      <c r="B14" s="10" t="s">
        <v>1311</v>
      </c>
      <c r="C14" s="82" t="s">
        <v>1336</v>
      </c>
      <c r="D14" s="10" t="s">
        <v>1338</v>
      </c>
      <c r="E14" s="10" t="s">
        <v>1340</v>
      </c>
    </row>
    <row r="15" ht="30.0" customHeight="1">
      <c r="A15" s="81" t="s">
        <v>1343</v>
      </c>
      <c r="B15" s="10" t="s">
        <v>1346</v>
      </c>
      <c r="C15" s="82" t="s">
        <v>1348</v>
      </c>
      <c r="D15" s="10" t="s">
        <v>1350</v>
      </c>
      <c r="E15" s="10" t="s">
        <v>1352</v>
      </c>
    </row>
    <row r="16" ht="30.0" customHeight="1">
      <c r="A16" s="81" t="s">
        <v>1356</v>
      </c>
      <c r="B16" s="10" t="s">
        <v>1346</v>
      </c>
      <c r="C16" s="82" t="s">
        <v>1360</v>
      </c>
      <c r="D16" s="10" t="s">
        <v>1362</v>
      </c>
      <c r="E16" s="10" t="s">
        <v>1365</v>
      </c>
    </row>
    <row r="17" ht="30.0" customHeight="1">
      <c r="A17" s="81" t="s">
        <v>1367</v>
      </c>
      <c r="B17" s="10" t="s">
        <v>1346</v>
      </c>
      <c r="C17" s="82" t="s">
        <v>1370</v>
      </c>
      <c r="D17" s="10" t="s">
        <v>1372</v>
      </c>
      <c r="E17" s="10" t="s">
        <v>1373</v>
      </c>
    </row>
    <row r="18" ht="69.75" customHeight="1">
      <c r="A18" s="81" t="s">
        <v>1375</v>
      </c>
      <c r="B18" s="10" t="s">
        <v>1346</v>
      </c>
      <c r="C18" s="82" t="s">
        <v>1379</v>
      </c>
      <c r="D18" s="10" t="s">
        <v>1381</v>
      </c>
      <c r="E18" s="10" t="s">
        <v>1386</v>
      </c>
    </row>
    <row r="19" ht="55.5" customHeight="1">
      <c r="A19" s="81" t="s">
        <v>1388</v>
      </c>
      <c r="B19" s="10" t="s">
        <v>1390</v>
      </c>
      <c r="C19" s="82" t="s">
        <v>1392</v>
      </c>
      <c r="D19" s="10" t="s">
        <v>1394</v>
      </c>
      <c r="E19" s="10" t="s">
        <v>1397</v>
      </c>
    </row>
    <row r="20" ht="42.0" customHeight="1">
      <c r="A20" s="81" t="s">
        <v>1402</v>
      </c>
      <c r="B20" s="10" t="s">
        <v>1390</v>
      </c>
      <c r="C20" s="82" t="s">
        <v>1407</v>
      </c>
      <c r="D20" s="10" t="s">
        <v>1409</v>
      </c>
      <c r="E20" s="10" t="s">
        <v>1411</v>
      </c>
    </row>
    <row r="21" ht="84.0" customHeight="1">
      <c r="A21" s="81" t="s">
        <v>1415</v>
      </c>
      <c r="B21" s="10" t="s">
        <v>1390</v>
      </c>
      <c r="C21" s="82" t="s">
        <v>1416</v>
      </c>
      <c r="D21" s="10" t="s">
        <v>1418</v>
      </c>
      <c r="E21" s="10" t="s">
        <v>1420</v>
      </c>
    </row>
    <row r="22" ht="30.0" customHeight="1">
      <c r="A22" s="81" t="s">
        <v>1423</v>
      </c>
      <c r="B22" s="10" t="s">
        <v>1390</v>
      </c>
      <c r="C22" s="82" t="s">
        <v>1424</v>
      </c>
      <c r="D22" s="10" t="s">
        <v>1425</v>
      </c>
      <c r="E22" s="10" t="s">
        <v>1427</v>
      </c>
    </row>
    <row r="23" ht="15.75" customHeight="1"/>
    <row r="24" ht="43.5" customHeight="1">
      <c r="A24" s="35" t="s">
        <v>1430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20.0"/>
    <col customWidth="1" min="3" max="26" width="8.71"/>
  </cols>
  <sheetData>
    <row r="1" ht="73.5" customHeight="1">
      <c r="A1" s="25" t="s">
        <v>1438</v>
      </c>
      <c r="B1" s="10" t="s">
        <v>1439</v>
      </c>
    </row>
    <row r="2" ht="87.75" customHeight="1">
      <c r="A2" s="25" t="s">
        <v>1440</v>
      </c>
      <c r="B2" s="10" t="s">
        <v>1441</v>
      </c>
    </row>
    <row r="3" ht="60.0" customHeight="1">
      <c r="A3" s="25" t="s">
        <v>1442</v>
      </c>
      <c r="B3" s="10" t="s">
        <v>1443</v>
      </c>
    </row>
    <row r="4" ht="60.0" customHeight="1">
      <c r="A4" s="25" t="s">
        <v>1444</v>
      </c>
      <c r="B4" s="10" t="s">
        <v>1445</v>
      </c>
    </row>
    <row r="5" ht="45.75" customHeight="1">
      <c r="A5" s="25" t="s">
        <v>1446</v>
      </c>
      <c r="B5" s="10" t="s">
        <v>1447</v>
      </c>
    </row>
    <row r="6" ht="45.75" customHeight="1">
      <c r="A6" s="25" t="s">
        <v>1448</v>
      </c>
      <c r="B6" s="10" t="s">
        <v>1449</v>
      </c>
    </row>
    <row r="7" ht="60.0" customHeight="1">
      <c r="A7" s="25" t="s">
        <v>1450</v>
      </c>
      <c r="B7" s="10" t="s">
        <v>1451</v>
      </c>
    </row>
    <row r="8" ht="60.0" customHeight="1">
      <c r="A8" s="25" t="s">
        <v>1452</v>
      </c>
      <c r="B8" s="10" t="s">
        <v>1453</v>
      </c>
    </row>
    <row r="9" ht="45.75" customHeight="1">
      <c r="A9" s="25" t="s">
        <v>1454</v>
      </c>
      <c r="B9" s="10" t="s">
        <v>1455</v>
      </c>
    </row>
    <row r="10" ht="31.5" customHeight="1">
      <c r="A10" s="25" t="s">
        <v>1456</v>
      </c>
      <c r="B10" s="10" t="s">
        <v>1457</v>
      </c>
    </row>
    <row r="11" ht="73.5" customHeight="1">
      <c r="A11" s="25" t="s">
        <v>1458</v>
      </c>
      <c r="B11" s="10" t="s">
        <v>1459</v>
      </c>
    </row>
    <row r="12" ht="31.5" customHeight="1">
      <c r="A12" s="25" t="s">
        <v>1460</v>
      </c>
      <c r="B12" s="10" t="s">
        <v>1461</v>
      </c>
    </row>
    <row r="13" ht="31.5" customHeight="1">
      <c r="A13" s="25" t="s">
        <v>1462</v>
      </c>
      <c r="B13" s="10" t="s">
        <v>1463</v>
      </c>
    </row>
    <row r="14" ht="60.0" customHeight="1">
      <c r="A14" s="25" t="s">
        <v>1464</v>
      </c>
      <c r="B14" s="10" t="s">
        <v>1465</v>
      </c>
    </row>
    <row r="15" ht="87.75" customHeight="1">
      <c r="A15" s="25" t="s">
        <v>1466</v>
      </c>
      <c r="B15" s="10" t="s">
        <v>1467</v>
      </c>
    </row>
    <row r="16" ht="129.75" customHeight="1">
      <c r="A16" s="25" t="s">
        <v>1468</v>
      </c>
      <c r="B16" s="10" t="s">
        <v>1469</v>
      </c>
    </row>
    <row r="17" ht="60.0" customHeight="1">
      <c r="A17" s="25" t="s">
        <v>1470</v>
      </c>
      <c r="B17" s="10" t="s">
        <v>1471</v>
      </c>
    </row>
    <row r="18" ht="45.75" customHeight="1">
      <c r="A18" s="25" t="s">
        <v>1472</v>
      </c>
      <c r="B18" s="10" t="s">
        <v>1473</v>
      </c>
    </row>
    <row r="19" ht="45.75" customHeight="1">
      <c r="A19" s="25" t="s">
        <v>1474</v>
      </c>
      <c r="B19" s="10" t="s">
        <v>1475</v>
      </c>
    </row>
    <row r="20" ht="73.5" customHeight="1">
      <c r="A20" s="25" t="s">
        <v>1476</v>
      </c>
      <c r="B20" s="10" t="s">
        <v>1477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6.0"/>
    <col customWidth="1" min="3" max="4" width="30.0"/>
    <col customWidth="1" min="5" max="5" width="22.0"/>
    <col customWidth="1" min="6" max="6" width="46.0"/>
    <col customWidth="1" min="7" max="8" width="40.0"/>
    <col customWidth="1" min="9" max="26" width="8.71"/>
  </cols>
  <sheetData>
    <row r="1" ht="14.25" customHeight="1">
      <c r="A1" s="95" t="s">
        <v>1478</v>
      </c>
      <c r="B1" s="72"/>
      <c r="C1" s="72"/>
      <c r="D1" s="72"/>
      <c r="E1" s="72"/>
      <c r="F1" s="72"/>
      <c r="G1" s="72"/>
      <c r="H1" s="72"/>
      <c r="I1" s="72"/>
      <c r="J1" s="72"/>
      <c r="K1" s="72"/>
      <c r="L1" s="72"/>
      <c r="M1" s="72"/>
      <c r="N1" s="72"/>
      <c r="O1" s="72"/>
      <c r="P1" s="72"/>
      <c r="Q1" s="72"/>
      <c r="R1" s="72"/>
      <c r="S1" s="72"/>
      <c r="T1" s="72"/>
      <c r="U1" s="72"/>
      <c r="V1" s="72"/>
      <c r="W1" s="72"/>
      <c r="X1" s="72"/>
      <c r="Y1" s="72"/>
      <c r="Z1" s="72"/>
    </row>
    <row r="2" ht="14.25" customHeight="1">
      <c r="A2" s="96" t="s">
        <v>1479</v>
      </c>
      <c r="B2" s="72"/>
      <c r="C2" s="72"/>
      <c r="D2" s="72"/>
      <c r="E2" s="72"/>
      <c r="F2" s="72"/>
      <c r="G2" s="72"/>
      <c r="H2" s="72"/>
      <c r="I2" s="72"/>
      <c r="J2" s="72"/>
      <c r="K2" s="72"/>
      <c r="L2" s="72"/>
      <c r="M2" s="72"/>
      <c r="N2" s="72"/>
      <c r="O2" s="72"/>
      <c r="P2" s="72"/>
      <c r="Q2" s="72"/>
      <c r="R2" s="72"/>
      <c r="S2" s="72"/>
      <c r="T2" s="72"/>
      <c r="U2" s="72"/>
      <c r="V2" s="72"/>
      <c r="W2" s="72"/>
      <c r="X2" s="72"/>
      <c r="Y2" s="72"/>
      <c r="Z2" s="72"/>
    </row>
    <row r="3" ht="14.25" customHeight="1">
      <c r="A3" s="72"/>
      <c r="B3" s="72"/>
      <c r="C3" s="72"/>
      <c r="D3" s="72"/>
      <c r="E3" s="72"/>
      <c r="F3" s="72"/>
      <c r="G3" s="72"/>
      <c r="H3" s="72"/>
      <c r="I3" s="72"/>
      <c r="J3" s="72"/>
      <c r="K3" s="72"/>
      <c r="L3" s="72"/>
      <c r="M3" s="72"/>
      <c r="N3" s="72"/>
      <c r="O3" s="72"/>
      <c r="P3" s="72"/>
      <c r="Q3" s="72"/>
      <c r="R3" s="72"/>
      <c r="S3" s="72"/>
      <c r="T3" s="72"/>
      <c r="U3" s="72"/>
      <c r="V3" s="72"/>
      <c r="W3" s="72"/>
      <c r="X3" s="72"/>
      <c r="Y3" s="72"/>
      <c r="Z3" s="72"/>
    </row>
    <row r="4" ht="14.25" customHeight="1">
      <c r="A4" s="97" t="s">
        <v>1480</v>
      </c>
      <c r="B4" s="72"/>
      <c r="C4" s="72"/>
      <c r="D4" s="72"/>
      <c r="E4" s="72"/>
      <c r="F4" s="72"/>
      <c r="G4" s="72"/>
      <c r="H4" s="72"/>
      <c r="I4" s="72"/>
      <c r="J4" s="72"/>
      <c r="K4" s="72"/>
      <c r="L4" s="72"/>
      <c r="M4" s="72"/>
      <c r="N4" s="72"/>
      <c r="O4" s="72"/>
      <c r="P4" s="72"/>
      <c r="Q4" s="72"/>
      <c r="R4" s="72"/>
      <c r="S4" s="72"/>
      <c r="T4" s="72"/>
      <c r="U4" s="72"/>
      <c r="V4" s="72"/>
      <c r="W4" s="72"/>
      <c r="X4" s="72"/>
      <c r="Y4" s="72"/>
      <c r="Z4" s="72"/>
    </row>
    <row r="5" ht="14.25" customHeight="1">
      <c r="A5" s="96" t="s">
        <v>1481</v>
      </c>
      <c r="B5" s="96" t="s">
        <v>1482</v>
      </c>
      <c r="C5" s="72"/>
      <c r="D5" s="72"/>
      <c r="E5" s="72"/>
      <c r="F5" s="72"/>
      <c r="G5" s="72"/>
      <c r="H5" s="72"/>
      <c r="I5" s="72"/>
      <c r="J5" s="72"/>
      <c r="K5" s="72"/>
      <c r="L5" s="72"/>
      <c r="M5" s="72"/>
      <c r="N5" s="72"/>
      <c r="O5" s="72"/>
      <c r="P5" s="72"/>
      <c r="Q5" s="72"/>
      <c r="R5" s="72"/>
      <c r="S5" s="72"/>
      <c r="T5" s="72"/>
      <c r="U5" s="72"/>
      <c r="V5" s="72"/>
      <c r="W5" s="72"/>
      <c r="X5" s="72"/>
      <c r="Y5" s="72"/>
      <c r="Z5" s="72"/>
    </row>
    <row r="6" ht="14.25" customHeight="1">
      <c r="A6" s="96" t="s">
        <v>1483</v>
      </c>
      <c r="B6" s="96" t="s">
        <v>1484</v>
      </c>
      <c r="C6" s="72"/>
      <c r="D6" s="72"/>
      <c r="E6" s="72"/>
      <c r="F6" s="72"/>
      <c r="G6" s="72"/>
      <c r="H6" s="72"/>
      <c r="I6" s="72"/>
      <c r="J6" s="72"/>
      <c r="K6" s="72"/>
      <c r="L6" s="72"/>
      <c r="M6" s="72"/>
      <c r="N6" s="72"/>
      <c r="O6" s="72"/>
      <c r="P6" s="72"/>
      <c r="Q6" s="72"/>
      <c r="R6" s="72"/>
      <c r="S6" s="72"/>
      <c r="T6" s="72"/>
      <c r="U6" s="72"/>
      <c r="V6" s="72"/>
      <c r="W6" s="72"/>
      <c r="X6" s="72"/>
      <c r="Y6" s="72"/>
      <c r="Z6" s="72"/>
    </row>
    <row r="7" ht="14.25" customHeight="1">
      <c r="A7" s="96" t="s">
        <v>1485</v>
      </c>
      <c r="B7" s="96" t="s">
        <v>1486</v>
      </c>
      <c r="C7" s="72"/>
      <c r="D7" s="72"/>
      <c r="E7" s="72"/>
      <c r="F7" s="72"/>
      <c r="G7" s="72"/>
      <c r="H7" s="72"/>
      <c r="I7" s="72"/>
      <c r="J7" s="72"/>
      <c r="K7" s="72"/>
      <c r="L7" s="72"/>
      <c r="M7" s="72"/>
      <c r="N7" s="72"/>
      <c r="O7" s="72"/>
      <c r="P7" s="72"/>
      <c r="Q7" s="72"/>
      <c r="R7" s="72"/>
      <c r="S7" s="72"/>
      <c r="T7" s="72"/>
      <c r="U7" s="72"/>
      <c r="V7" s="72"/>
      <c r="W7" s="72"/>
      <c r="X7" s="72"/>
      <c r="Y7" s="72"/>
      <c r="Z7" s="72"/>
    </row>
    <row r="8" ht="14.25" customHeight="1">
      <c r="A8" s="96" t="s">
        <v>1487</v>
      </c>
      <c r="B8" s="96" t="s">
        <v>1488</v>
      </c>
      <c r="C8" s="72"/>
      <c r="D8" s="72"/>
      <c r="E8" s="72"/>
      <c r="F8" s="72"/>
      <c r="G8" s="72"/>
      <c r="H8" s="72"/>
      <c r="I8" s="72"/>
      <c r="J8" s="72"/>
      <c r="K8" s="72"/>
      <c r="L8" s="72"/>
      <c r="M8" s="72"/>
      <c r="N8" s="72"/>
      <c r="O8" s="72"/>
      <c r="P8" s="72"/>
      <c r="Q8" s="72"/>
      <c r="R8" s="72"/>
      <c r="S8" s="72"/>
      <c r="T8" s="72"/>
      <c r="U8" s="72"/>
      <c r="V8" s="72"/>
      <c r="W8" s="72"/>
      <c r="X8" s="72"/>
      <c r="Y8" s="72"/>
      <c r="Z8" s="72"/>
    </row>
    <row r="9" ht="14.25" customHeight="1">
      <c r="A9" s="96" t="s">
        <v>1489</v>
      </c>
      <c r="B9" s="96" t="s">
        <v>1490</v>
      </c>
      <c r="C9" s="72"/>
      <c r="D9" s="72"/>
      <c r="E9" s="72"/>
      <c r="F9" s="72"/>
      <c r="G9" s="72"/>
      <c r="H9" s="72"/>
      <c r="I9" s="72"/>
      <c r="J9" s="72"/>
      <c r="K9" s="72"/>
      <c r="L9" s="72"/>
      <c r="M9" s="72"/>
      <c r="N9" s="72"/>
      <c r="O9" s="72"/>
      <c r="P9" s="72"/>
      <c r="Q9" s="72"/>
      <c r="R9" s="72"/>
      <c r="S9" s="72"/>
      <c r="T9" s="72"/>
      <c r="U9" s="72"/>
      <c r="V9" s="72"/>
      <c r="W9" s="72"/>
      <c r="X9" s="72"/>
      <c r="Y9" s="72"/>
      <c r="Z9" s="72"/>
    </row>
    <row r="10" ht="14.25" customHeight="1">
      <c r="A10" s="96" t="s">
        <v>1491</v>
      </c>
      <c r="B10" s="96" t="s">
        <v>1492</v>
      </c>
      <c r="C10" s="72"/>
      <c r="D10" s="72"/>
      <c r="E10" s="72"/>
      <c r="F10" s="72"/>
      <c r="G10" s="72"/>
      <c r="H10" s="72"/>
      <c r="I10" s="72"/>
      <c r="J10" s="72"/>
      <c r="K10" s="72"/>
      <c r="L10" s="72"/>
      <c r="M10" s="72"/>
      <c r="N10" s="72"/>
      <c r="O10" s="72"/>
      <c r="P10" s="72"/>
      <c r="Q10" s="72"/>
      <c r="R10" s="72"/>
      <c r="S10" s="72"/>
      <c r="T10" s="72"/>
      <c r="U10" s="72"/>
      <c r="V10" s="72"/>
      <c r="W10" s="72"/>
      <c r="X10" s="72"/>
      <c r="Y10" s="72"/>
      <c r="Z10" s="72"/>
    </row>
    <row r="11" ht="14.25" customHeight="1">
      <c r="A11" s="96" t="s">
        <v>1493</v>
      </c>
      <c r="B11" s="96" t="s">
        <v>1494</v>
      </c>
      <c r="C11" s="72"/>
      <c r="D11" s="72"/>
      <c r="E11" s="72"/>
      <c r="F11" s="72"/>
      <c r="G11" s="72"/>
      <c r="H11" s="72"/>
      <c r="I11" s="72"/>
      <c r="J11" s="72"/>
      <c r="K11" s="72"/>
      <c r="L11" s="72"/>
      <c r="M11" s="72"/>
      <c r="N11" s="72"/>
      <c r="O11" s="72"/>
      <c r="P11" s="72"/>
      <c r="Q11" s="72"/>
      <c r="R11" s="72"/>
      <c r="S11" s="72"/>
      <c r="T11" s="72"/>
      <c r="U11" s="72"/>
      <c r="V11" s="72"/>
      <c r="W11" s="72"/>
      <c r="X11" s="72"/>
      <c r="Y11" s="72"/>
      <c r="Z11" s="72"/>
    </row>
    <row r="12" ht="14.25" customHeight="1">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ht="14.25" customHeight="1">
      <c r="A13" s="97" t="s">
        <v>1495</v>
      </c>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ht="14.25" customHeight="1">
      <c r="A14" s="97" t="s">
        <v>1496</v>
      </c>
      <c r="B14" s="97" t="s">
        <v>1497</v>
      </c>
      <c r="C14" s="72"/>
      <c r="D14" s="72"/>
      <c r="E14" s="72"/>
      <c r="F14" s="72"/>
      <c r="G14" s="72"/>
      <c r="H14" s="72"/>
      <c r="I14" s="72"/>
      <c r="J14" s="72"/>
      <c r="K14" s="72"/>
      <c r="L14" s="72"/>
      <c r="M14" s="72"/>
      <c r="N14" s="72"/>
      <c r="O14" s="72"/>
      <c r="P14" s="72"/>
      <c r="Q14" s="72"/>
      <c r="R14" s="72"/>
      <c r="S14" s="72"/>
      <c r="T14" s="72"/>
      <c r="U14" s="72"/>
      <c r="V14" s="72"/>
      <c r="W14" s="72"/>
      <c r="X14" s="72"/>
      <c r="Y14" s="72"/>
      <c r="Z14" s="72"/>
    </row>
    <row r="15" ht="14.25" customHeight="1">
      <c r="A15" s="96" t="s">
        <v>1498</v>
      </c>
      <c r="B15" s="96" t="s">
        <v>1499</v>
      </c>
      <c r="C15" s="72"/>
      <c r="D15" s="72"/>
      <c r="E15" s="72"/>
      <c r="F15" s="72"/>
      <c r="G15" s="72"/>
      <c r="H15" s="72"/>
      <c r="I15" s="72"/>
      <c r="J15" s="72"/>
      <c r="K15" s="72"/>
      <c r="L15" s="72"/>
      <c r="M15" s="72"/>
      <c r="N15" s="72"/>
      <c r="O15" s="72"/>
      <c r="P15" s="72"/>
      <c r="Q15" s="72"/>
      <c r="R15" s="72"/>
      <c r="S15" s="72"/>
      <c r="T15" s="72"/>
      <c r="U15" s="72"/>
      <c r="V15" s="72"/>
      <c r="W15" s="72"/>
      <c r="X15" s="72"/>
      <c r="Y15" s="72"/>
      <c r="Z15" s="72"/>
    </row>
    <row r="16" ht="14.25" customHeight="1">
      <c r="A16" s="96" t="s">
        <v>1500</v>
      </c>
      <c r="B16" s="96" t="s">
        <v>1501</v>
      </c>
      <c r="C16" s="72"/>
      <c r="D16" s="72"/>
      <c r="E16" s="72"/>
      <c r="F16" s="72"/>
      <c r="G16" s="72"/>
      <c r="H16" s="72"/>
      <c r="I16" s="72"/>
      <c r="J16" s="72"/>
      <c r="K16" s="72"/>
      <c r="L16" s="72"/>
      <c r="M16" s="72"/>
      <c r="N16" s="72"/>
      <c r="O16" s="72"/>
      <c r="P16" s="72"/>
      <c r="Q16" s="72"/>
      <c r="R16" s="72"/>
      <c r="S16" s="72"/>
      <c r="T16" s="72"/>
      <c r="U16" s="72"/>
      <c r="V16" s="72"/>
      <c r="W16" s="72"/>
      <c r="X16" s="72"/>
      <c r="Y16" s="72"/>
      <c r="Z16" s="72"/>
    </row>
    <row r="17" ht="14.25" customHeight="1">
      <c r="A17" s="96" t="s">
        <v>1502</v>
      </c>
      <c r="B17" s="96" t="s">
        <v>1503</v>
      </c>
      <c r="C17" s="72"/>
      <c r="D17" s="72"/>
      <c r="E17" s="72"/>
      <c r="F17" s="72"/>
      <c r="G17" s="72"/>
      <c r="H17" s="72"/>
      <c r="I17" s="72"/>
      <c r="J17" s="72"/>
      <c r="K17" s="72"/>
      <c r="L17" s="72"/>
      <c r="M17" s="72"/>
      <c r="N17" s="72"/>
      <c r="O17" s="72"/>
      <c r="P17" s="72"/>
      <c r="Q17" s="72"/>
      <c r="R17" s="72"/>
      <c r="S17" s="72"/>
      <c r="T17" s="72"/>
      <c r="U17" s="72"/>
      <c r="V17" s="72"/>
      <c r="W17" s="72"/>
      <c r="X17" s="72"/>
      <c r="Y17" s="72"/>
      <c r="Z17" s="72"/>
    </row>
    <row r="18" ht="14.25" customHeight="1">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ht="14.25" customHeight="1">
      <c r="A19" s="97" t="s">
        <v>1504</v>
      </c>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ht="14.25" customHeight="1">
      <c r="A20" s="97" t="s">
        <v>1505</v>
      </c>
      <c r="B20" s="97" t="s">
        <v>1506</v>
      </c>
      <c r="C20" s="97" t="s">
        <v>1507</v>
      </c>
      <c r="D20" s="97" t="s">
        <v>1508</v>
      </c>
      <c r="E20" s="97" t="s">
        <v>1509</v>
      </c>
      <c r="F20" s="97" t="s">
        <v>1510</v>
      </c>
      <c r="G20" s="97" t="s">
        <v>1511</v>
      </c>
      <c r="H20" s="97" t="s">
        <v>1512</v>
      </c>
      <c r="I20" s="72"/>
      <c r="J20" s="72"/>
      <c r="K20" s="72"/>
      <c r="L20" s="72"/>
      <c r="M20" s="72"/>
      <c r="N20" s="72"/>
      <c r="O20" s="72"/>
      <c r="P20" s="72"/>
      <c r="Q20" s="72"/>
      <c r="R20" s="72"/>
      <c r="S20" s="72"/>
      <c r="T20" s="72"/>
      <c r="U20" s="72"/>
      <c r="V20" s="72"/>
      <c r="W20" s="72"/>
      <c r="X20" s="72"/>
      <c r="Y20" s="72"/>
      <c r="Z20" s="72"/>
    </row>
    <row r="21" ht="14.25" customHeight="1">
      <c r="A21" s="96" t="s">
        <v>1513</v>
      </c>
      <c r="B21" s="96" t="s">
        <v>1514</v>
      </c>
      <c r="C21" s="96" t="s">
        <v>1515</v>
      </c>
      <c r="D21" s="96" t="s">
        <v>1516</v>
      </c>
      <c r="E21" s="96" t="s">
        <v>1517</v>
      </c>
      <c r="F21" s="96" t="s">
        <v>1518</v>
      </c>
      <c r="G21" s="96" t="s">
        <v>1519</v>
      </c>
      <c r="H21" s="98" t="str">
        <f>HYPERLINK("https://notebooklm.google.com","https://notebooklm.google.com")</f>
        <v>https://notebooklm.google.com</v>
      </c>
      <c r="I21" s="72"/>
      <c r="J21" s="72"/>
      <c r="K21" s="72"/>
      <c r="L21" s="72"/>
      <c r="M21" s="72"/>
      <c r="N21" s="72"/>
      <c r="O21" s="72"/>
      <c r="P21" s="72"/>
      <c r="Q21" s="72"/>
      <c r="R21" s="72"/>
      <c r="S21" s="72"/>
      <c r="T21" s="72"/>
      <c r="U21" s="72"/>
      <c r="V21" s="72"/>
      <c r="W21" s="72"/>
      <c r="X21" s="72"/>
      <c r="Y21" s="72"/>
      <c r="Z21" s="72"/>
    </row>
    <row r="22" ht="14.25" customHeight="1">
      <c r="A22" s="96" t="s">
        <v>1520</v>
      </c>
      <c r="B22" s="96" t="s">
        <v>1514</v>
      </c>
      <c r="C22" s="96" t="s">
        <v>1515</v>
      </c>
      <c r="D22" s="96" t="s">
        <v>1521</v>
      </c>
      <c r="E22" s="96" t="s">
        <v>1517</v>
      </c>
      <c r="F22" s="96" t="s">
        <v>1522</v>
      </c>
      <c r="G22" s="96" t="s">
        <v>1523</v>
      </c>
      <c r="H22" s="98" t="str">
        <f>HYPERLINK("https://gemini.google.com","https://gemini.google.com")</f>
        <v>https://gemini.google.com</v>
      </c>
      <c r="I22" s="72"/>
      <c r="J22" s="72"/>
      <c r="K22" s="72"/>
      <c r="L22" s="72"/>
      <c r="M22" s="72"/>
      <c r="N22" s="72"/>
      <c r="O22" s="72"/>
      <c r="P22" s="72"/>
      <c r="Q22" s="72"/>
      <c r="R22" s="72"/>
      <c r="S22" s="72"/>
      <c r="T22" s="72"/>
      <c r="U22" s="72"/>
      <c r="V22" s="72"/>
      <c r="W22" s="72"/>
      <c r="X22" s="72"/>
      <c r="Y22" s="72"/>
      <c r="Z22" s="72"/>
    </row>
    <row r="23" ht="14.25" customHeight="1">
      <c r="A23" s="96" t="s">
        <v>1524</v>
      </c>
      <c r="B23" s="96" t="s">
        <v>1514</v>
      </c>
      <c r="C23" s="96" t="s">
        <v>1525</v>
      </c>
      <c r="D23" s="96" t="s">
        <v>1526</v>
      </c>
      <c r="E23" s="96" t="s">
        <v>1517</v>
      </c>
      <c r="F23" s="96" t="s">
        <v>1527</v>
      </c>
      <c r="G23" s="96" t="s">
        <v>1528</v>
      </c>
      <c r="H23" s="98" t="str">
        <f>HYPERLINK("https://teachablemachine.withgoogle.com","https://teachablemachine.withgoogle.com")</f>
        <v>https://teachablemachine.withgoogle.com</v>
      </c>
      <c r="I23" s="72"/>
      <c r="J23" s="72"/>
      <c r="K23" s="72"/>
      <c r="L23" s="72"/>
      <c r="M23" s="72"/>
      <c r="N23" s="72"/>
      <c r="O23" s="72"/>
      <c r="P23" s="72"/>
      <c r="Q23" s="72"/>
      <c r="R23" s="72"/>
      <c r="S23" s="72"/>
      <c r="T23" s="72"/>
      <c r="U23" s="72"/>
      <c r="V23" s="72"/>
      <c r="W23" s="72"/>
      <c r="X23" s="72"/>
      <c r="Y23" s="72"/>
      <c r="Z23" s="72"/>
    </row>
    <row r="24" ht="14.25" customHeight="1">
      <c r="A24" s="96" t="s">
        <v>1529</v>
      </c>
      <c r="B24" s="96" t="s">
        <v>1514</v>
      </c>
      <c r="C24" s="96" t="s">
        <v>1525</v>
      </c>
      <c r="D24" s="96" t="s">
        <v>1530</v>
      </c>
      <c r="E24" s="96" t="s">
        <v>1517</v>
      </c>
      <c r="F24" s="96" t="s">
        <v>1531</v>
      </c>
      <c r="G24" s="96" t="s">
        <v>1532</v>
      </c>
      <c r="H24" s="98" t="str">
        <f>HYPERLINK("https://climatetrace.org","https://climatetrace.org")</f>
        <v>https://climatetrace.org</v>
      </c>
      <c r="I24" s="72"/>
      <c r="J24" s="72"/>
      <c r="K24" s="72"/>
      <c r="L24" s="72"/>
      <c r="M24" s="72"/>
      <c r="N24" s="72"/>
      <c r="O24" s="72"/>
      <c r="P24" s="72"/>
      <c r="Q24" s="72"/>
      <c r="R24" s="72"/>
      <c r="S24" s="72"/>
      <c r="T24" s="72"/>
      <c r="U24" s="72"/>
      <c r="V24" s="72"/>
      <c r="W24" s="72"/>
      <c r="X24" s="72"/>
      <c r="Y24" s="72"/>
      <c r="Z24" s="72"/>
    </row>
    <row r="25" ht="14.25" customHeight="1">
      <c r="A25" s="96" t="s">
        <v>1533</v>
      </c>
      <c r="B25" s="96" t="s">
        <v>1514</v>
      </c>
      <c r="C25" s="96" t="s">
        <v>1525</v>
      </c>
      <c r="D25" s="96" t="s">
        <v>1530</v>
      </c>
      <c r="E25" s="96" t="s">
        <v>1517</v>
      </c>
      <c r="F25" s="96" t="s">
        <v>1534</v>
      </c>
      <c r="G25" s="96" t="s">
        <v>1535</v>
      </c>
      <c r="H25" s="98" t="str">
        <f>HYPERLINK("https://sites.research.google/floods/","https://sites.research.google/floods/")</f>
        <v>https://sites.research.google/floods/</v>
      </c>
      <c r="I25" s="72"/>
      <c r="J25" s="72"/>
      <c r="K25" s="72"/>
      <c r="L25" s="72"/>
      <c r="M25" s="72"/>
      <c r="N25" s="72"/>
      <c r="O25" s="72"/>
      <c r="P25" s="72"/>
      <c r="Q25" s="72"/>
      <c r="R25" s="72"/>
      <c r="S25" s="72"/>
      <c r="T25" s="72"/>
      <c r="U25" s="72"/>
      <c r="V25" s="72"/>
      <c r="W25" s="72"/>
      <c r="X25" s="72"/>
      <c r="Y25" s="72"/>
      <c r="Z25" s="72"/>
    </row>
    <row r="26" ht="14.25" customHeight="1">
      <c r="A26" s="96" t="s">
        <v>1536</v>
      </c>
      <c r="B26" s="96" t="s">
        <v>1514</v>
      </c>
      <c r="C26" s="96" t="s">
        <v>1537</v>
      </c>
      <c r="D26" s="96" t="s">
        <v>1538</v>
      </c>
      <c r="E26" s="96" t="s">
        <v>1539</v>
      </c>
      <c r="F26" s="96" t="s">
        <v>1540</v>
      </c>
      <c r="G26" s="96" t="s">
        <v>1541</v>
      </c>
      <c r="H26" s="98" t="str">
        <f>HYPERLINK("https://plantnet.org","https://plantnet.org")</f>
        <v>https://plantnet.org</v>
      </c>
      <c r="I26" s="72"/>
      <c r="J26" s="72"/>
      <c r="K26" s="72"/>
      <c r="L26" s="72"/>
      <c r="M26" s="72"/>
      <c r="N26" s="72"/>
      <c r="O26" s="72"/>
      <c r="P26" s="72"/>
      <c r="Q26" s="72"/>
      <c r="R26" s="72"/>
      <c r="S26" s="72"/>
      <c r="T26" s="72"/>
      <c r="U26" s="72"/>
      <c r="V26" s="72"/>
      <c r="W26" s="72"/>
      <c r="X26" s="72"/>
      <c r="Y26" s="72"/>
      <c r="Z26" s="72"/>
    </row>
    <row r="27" ht="14.25" customHeight="1">
      <c r="A27" s="96" t="s">
        <v>1542</v>
      </c>
      <c r="B27" s="96" t="s">
        <v>1514</v>
      </c>
      <c r="C27" s="96" t="s">
        <v>1525</v>
      </c>
      <c r="D27" s="96" t="s">
        <v>1543</v>
      </c>
      <c r="E27" s="96" t="s">
        <v>1517</v>
      </c>
      <c r="F27" s="96" t="s">
        <v>1544</v>
      </c>
      <c r="G27" s="96" t="s">
        <v>1545</v>
      </c>
      <c r="H27" s="98" t="str">
        <f>HYPERLINK("https://globalnaturewatch.org/dashboards/country/SLV/","https://globalnaturewatch.org/dashboards/country/SLV/")</f>
        <v>https://globalnaturewatch.org/dashboards/country/SLV/</v>
      </c>
      <c r="I27" s="72"/>
      <c r="J27" s="72"/>
      <c r="K27" s="72"/>
      <c r="L27" s="72"/>
      <c r="M27" s="72"/>
      <c r="N27" s="72"/>
      <c r="O27" s="72"/>
      <c r="P27" s="72"/>
      <c r="Q27" s="72"/>
      <c r="R27" s="72"/>
      <c r="S27" s="72"/>
      <c r="T27" s="72"/>
      <c r="U27" s="72"/>
      <c r="V27" s="72"/>
      <c r="W27" s="72"/>
      <c r="X27" s="72"/>
      <c r="Y27" s="72"/>
      <c r="Z27" s="72"/>
    </row>
    <row r="28" ht="14.25" customHeight="1">
      <c r="A28" s="96" t="s">
        <v>1546</v>
      </c>
      <c r="B28" s="96" t="s">
        <v>1514</v>
      </c>
      <c r="C28" s="96" t="s">
        <v>1547</v>
      </c>
      <c r="D28" s="96" t="s">
        <v>1548</v>
      </c>
      <c r="E28" s="96" t="s">
        <v>1549</v>
      </c>
      <c r="F28" s="96" t="s">
        <v>1550</v>
      </c>
      <c r="G28" s="96" t="s">
        <v>1551</v>
      </c>
      <c r="H28" s="98" t="str">
        <f>HYPERLINK("https://phet.colorado.edu/es","https://phet.colorado.edu/es")</f>
        <v>https://phet.colorado.edu/es</v>
      </c>
      <c r="I28" s="72"/>
      <c r="J28" s="72"/>
      <c r="K28" s="72"/>
      <c r="L28" s="72"/>
      <c r="M28" s="72"/>
      <c r="N28" s="72"/>
      <c r="O28" s="72"/>
      <c r="P28" s="72"/>
      <c r="Q28" s="72"/>
      <c r="R28" s="72"/>
      <c r="S28" s="72"/>
      <c r="T28" s="72"/>
      <c r="U28" s="72"/>
      <c r="V28" s="72"/>
      <c r="W28" s="72"/>
      <c r="X28" s="72"/>
      <c r="Y28" s="72"/>
      <c r="Z28" s="72"/>
    </row>
    <row r="29" ht="14.25" customHeight="1">
      <c r="A29" s="96" t="s">
        <v>1552</v>
      </c>
      <c r="B29" s="96" t="s">
        <v>1553</v>
      </c>
      <c r="C29" s="96" t="s">
        <v>1554</v>
      </c>
      <c r="D29" s="96" t="s">
        <v>1555</v>
      </c>
      <c r="E29" s="96" t="s">
        <v>1517</v>
      </c>
      <c r="F29" s="96" t="s">
        <v>1556</v>
      </c>
      <c r="G29" s="96" t="s">
        <v>1553</v>
      </c>
      <c r="H29" s="98" t="str">
        <f>HYPERLINK("https://grok.com","https://grok.com")</f>
        <v>https://grok.com</v>
      </c>
      <c r="I29" s="72"/>
      <c r="J29" s="72"/>
      <c r="K29" s="72"/>
      <c r="L29" s="72"/>
      <c r="M29" s="72"/>
      <c r="N29" s="72"/>
      <c r="O29" s="72"/>
      <c r="P29" s="72"/>
      <c r="Q29" s="72"/>
      <c r="R29" s="72"/>
      <c r="S29" s="72"/>
      <c r="T29" s="72"/>
      <c r="U29" s="72"/>
      <c r="V29" s="72"/>
      <c r="W29" s="72"/>
      <c r="X29" s="72"/>
      <c r="Y29" s="72"/>
      <c r="Z29" s="72"/>
    </row>
    <row r="30" ht="14.25" customHeight="1">
      <c r="A30" s="96" t="s">
        <v>1557</v>
      </c>
      <c r="B30" s="96" t="s">
        <v>1558</v>
      </c>
      <c r="C30" s="96" t="s">
        <v>1559</v>
      </c>
      <c r="D30" s="96" t="s">
        <v>1560</v>
      </c>
      <c r="E30" s="96" t="s">
        <v>1517</v>
      </c>
      <c r="F30" s="96" t="s">
        <v>1561</v>
      </c>
      <c r="G30" s="96" t="s">
        <v>1548</v>
      </c>
      <c r="H30" s="98" t="str">
        <f>HYPERLINK("https://copilot.microsoft.com","https://copilot.microsoft.com")</f>
        <v>https://copilot.microsoft.com</v>
      </c>
      <c r="I30" s="72"/>
      <c r="J30" s="72"/>
      <c r="K30" s="72"/>
      <c r="L30" s="72"/>
      <c r="M30" s="72"/>
      <c r="N30" s="72"/>
      <c r="O30" s="72"/>
      <c r="P30" s="72"/>
      <c r="Q30" s="72"/>
      <c r="R30" s="72"/>
      <c r="S30" s="72"/>
      <c r="T30" s="72"/>
      <c r="U30" s="72"/>
      <c r="V30" s="72"/>
      <c r="W30" s="72"/>
      <c r="X30" s="72"/>
      <c r="Y30" s="72"/>
      <c r="Z30" s="72"/>
    </row>
    <row r="31" ht="14.2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ht="14.25" customHeight="1">
      <c r="A32" s="97" t="s">
        <v>1562</v>
      </c>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ht="14.25" customHeight="1">
      <c r="A33" s="96" t="s">
        <v>1563</v>
      </c>
      <c r="B33" s="98" t="str">
        <f>HYPERLINK("https://www.anda.gob.sv","https://www.anda.gob.sv")</f>
        <v>https://www.anda.gob.sv</v>
      </c>
      <c r="C33" s="72"/>
      <c r="D33" s="72"/>
      <c r="E33" s="72"/>
      <c r="F33" s="72"/>
      <c r="G33" s="72"/>
      <c r="H33" s="72"/>
      <c r="I33" s="72"/>
      <c r="J33" s="72"/>
      <c r="K33" s="72"/>
      <c r="L33" s="72"/>
      <c r="M33" s="72"/>
      <c r="N33" s="72"/>
      <c r="O33" s="72"/>
      <c r="P33" s="72"/>
      <c r="Q33" s="72"/>
      <c r="R33" s="72"/>
      <c r="S33" s="72"/>
      <c r="T33" s="72"/>
      <c r="U33" s="72"/>
      <c r="V33" s="72"/>
      <c r="W33" s="72"/>
      <c r="X33" s="72"/>
      <c r="Y33" s="72"/>
      <c r="Z33" s="72"/>
    </row>
    <row r="34" ht="14.25" customHeight="1">
      <c r="A34" s="96" t="s">
        <v>1564</v>
      </c>
      <c r="B34" s="98" t="str">
        <f>HYPERLINK("https://www.cel.gob.sv","https://www.cel.gob.sv")</f>
        <v>https://www.cel.gob.sv</v>
      </c>
      <c r="C34" s="72"/>
      <c r="D34" s="72"/>
      <c r="E34" s="72"/>
      <c r="F34" s="72"/>
      <c r="G34" s="72"/>
      <c r="H34" s="72"/>
      <c r="I34" s="72"/>
      <c r="J34" s="72"/>
      <c r="K34" s="72"/>
      <c r="L34" s="72"/>
      <c r="M34" s="72"/>
      <c r="N34" s="72"/>
      <c r="O34" s="72"/>
      <c r="P34" s="72"/>
      <c r="Q34" s="72"/>
      <c r="R34" s="72"/>
      <c r="S34" s="72"/>
      <c r="T34" s="72"/>
      <c r="U34" s="72"/>
      <c r="V34" s="72"/>
      <c r="W34" s="72"/>
      <c r="X34" s="72"/>
      <c r="Y34" s="72"/>
      <c r="Z34" s="72"/>
    </row>
    <row r="35" ht="14.25" customHeight="1">
      <c r="A35" s="96" t="s">
        <v>1565</v>
      </c>
      <c r="B35" s="98" t="str">
        <f>HYPERLINK("https://www.centa.gob.sv","https://www.centa.gob.sv")</f>
        <v>https://www.centa.gob.sv</v>
      </c>
      <c r="C35" s="72"/>
      <c r="D35" s="72"/>
      <c r="E35" s="72"/>
      <c r="F35" s="72"/>
      <c r="G35" s="72"/>
      <c r="H35" s="72"/>
      <c r="I35" s="72"/>
      <c r="J35" s="72"/>
      <c r="K35" s="72"/>
      <c r="L35" s="72"/>
      <c r="M35" s="72"/>
      <c r="N35" s="72"/>
      <c r="O35" s="72"/>
      <c r="P35" s="72"/>
      <c r="Q35" s="72"/>
      <c r="R35" s="72"/>
      <c r="S35" s="72"/>
      <c r="T35" s="72"/>
      <c r="U35" s="72"/>
      <c r="V35" s="72"/>
      <c r="W35" s="72"/>
      <c r="X35" s="72"/>
      <c r="Y35" s="72"/>
      <c r="Z35" s="72"/>
    </row>
    <row r="36" ht="14.25" customHeight="1">
      <c r="A36" s="96" t="s">
        <v>1566</v>
      </c>
      <c r="B36" s="98" t="str">
        <f>HYPERLINK("https://www.snet.gob.sv","https://www.snet.gob.sv")</f>
        <v>https://www.snet.gob.sv</v>
      </c>
      <c r="C36" s="72"/>
      <c r="D36" s="72"/>
      <c r="E36" s="72"/>
      <c r="F36" s="72"/>
      <c r="G36" s="72"/>
      <c r="H36" s="72"/>
      <c r="I36" s="72"/>
      <c r="J36" s="72"/>
      <c r="K36" s="72"/>
      <c r="L36" s="72"/>
      <c r="M36" s="72"/>
      <c r="N36" s="72"/>
      <c r="O36" s="72"/>
      <c r="P36" s="72"/>
      <c r="Q36" s="72"/>
      <c r="R36" s="72"/>
      <c r="S36" s="72"/>
      <c r="T36" s="72"/>
      <c r="U36" s="72"/>
      <c r="V36" s="72"/>
      <c r="W36" s="72"/>
      <c r="X36" s="72"/>
      <c r="Y36" s="72"/>
      <c r="Z36" s="72"/>
    </row>
    <row r="37" ht="14.25" customHeight="1">
      <c r="A37" s="96" t="s">
        <v>1567</v>
      </c>
      <c r="B37" s="98" t="str">
        <f>HYPERLINK("https://globalnaturewatch.org/dashboards/country/SLV/","https://globalnaturewatch.org/dashboards/country/SLV/")</f>
        <v>https://globalnaturewatch.org/dashboards/country/SLV/</v>
      </c>
      <c r="C37" s="72"/>
      <c r="D37" s="72"/>
      <c r="E37" s="72"/>
      <c r="F37" s="72"/>
      <c r="G37" s="72"/>
      <c r="H37" s="72"/>
      <c r="I37" s="72"/>
      <c r="J37" s="72"/>
      <c r="K37" s="72"/>
      <c r="L37" s="72"/>
      <c r="M37" s="72"/>
      <c r="N37" s="72"/>
      <c r="O37" s="72"/>
      <c r="P37" s="72"/>
      <c r="Q37" s="72"/>
      <c r="R37" s="72"/>
      <c r="S37" s="72"/>
      <c r="T37" s="72"/>
      <c r="U37" s="72"/>
      <c r="V37" s="72"/>
      <c r="W37" s="72"/>
      <c r="X37" s="72"/>
      <c r="Y37" s="72"/>
      <c r="Z37" s="72"/>
    </row>
    <row r="38" ht="14.25" customHeight="1">
      <c r="A38" s="96" t="s">
        <v>1568</v>
      </c>
      <c r="B38" s="98" t="str">
        <f>HYPERLINK("https://www.marn.gob.sv","https://www.marn.gob.sv")</f>
        <v>https://www.marn.gob.sv</v>
      </c>
      <c r="C38" s="72"/>
      <c r="D38" s="72"/>
      <c r="E38" s="72"/>
      <c r="F38" s="72"/>
      <c r="G38" s="72"/>
      <c r="H38" s="72"/>
      <c r="I38" s="72"/>
      <c r="J38" s="72"/>
      <c r="K38" s="72"/>
      <c r="L38" s="72"/>
      <c r="M38" s="72"/>
      <c r="N38" s="72"/>
      <c r="O38" s="72"/>
      <c r="P38" s="72"/>
      <c r="Q38" s="72"/>
      <c r="R38" s="72"/>
      <c r="S38" s="72"/>
      <c r="T38" s="72"/>
      <c r="U38" s="72"/>
      <c r="V38" s="72"/>
      <c r="W38" s="72"/>
      <c r="X38" s="72"/>
      <c r="Y38" s="72"/>
      <c r="Z38" s="72"/>
    </row>
    <row r="39" ht="14.25" customHeight="1">
      <c r="A39" s="96" t="s">
        <v>1569</v>
      </c>
      <c r="B39" s="98" t="str">
        <f>HYPERLINK("https://www.salud.gob.sv","https://www.salud.gob.sv")</f>
        <v>https://www.salud.gob.sv</v>
      </c>
      <c r="C39" s="72"/>
      <c r="D39" s="72"/>
      <c r="E39" s="72"/>
      <c r="F39" s="72"/>
      <c r="G39" s="72"/>
      <c r="H39" s="72"/>
      <c r="I39" s="72"/>
      <c r="J39" s="72"/>
      <c r="K39" s="72"/>
      <c r="L39" s="72"/>
      <c r="M39" s="72"/>
      <c r="N39" s="72"/>
      <c r="O39" s="72"/>
      <c r="P39" s="72"/>
      <c r="Q39" s="72"/>
      <c r="R39" s="72"/>
      <c r="S39" s="72"/>
      <c r="T39" s="72"/>
      <c r="U39" s="72"/>
      <c r="V39" s="72"/>
      <c r="W39" s="72"/>
      <c r="X39" s="72"/>
      <c r="Y39" s="72"/>
      <c r="Z39" s="72"/>
    </row>
    <row r="40" ht="14.25" customHeight="1">
      <c r="A40" s="96" t="s">
        <v>1570</v>
      </c>
      <c r="B40" s="98" t="str">
        <f>HYPERLINK("https://phet.colorado.edu/sims/html/build-an-atom/latest/build-an-atom_es.html","https://phet.colorado.edu/sims/html/build-an-atom/latest/build-an-atom_es.html")</f>
        <v>https://phet.colorado.edu/sims/html/build-an-atom/latest/build-an-atom_es.html</v>
      </c>
      <c r="C40" s="72"/>
      <c r="D40" s="72"/>
      <c r="E40" s="72"/>
      <c r="F40" s="72"/>
      <c r="G40" s="72"/>
      <c r="H40" s="72"/>
      <c r="I40" s="72"/>
      <c r="J40" s="72"/>
      <c r="K40" s="72"/>
      <c r="L40" s="72"/>
      <c r="M40" s="72"/>
      <c r="N40" s="72"/>
      <c r="O40" s="72"/>
      <c r="P40" s="72"/>
      <c r="Q40" s="72"/>
      <c r="R40" s="72"/>
      <c r="S40" s="72"/>
      <c r="T40" s="72"/>
      <c r="U40" s="72"/>
      <c r="V40" s="72"/>
      <c r="W40" s="72"/>
      <c r="X40" s="72"/>
      <c r="Y40" s="72"/>
      <c r="Z40" s="72"/>
    </row>
    <row r="41" ht="14.25" customHeight="1">
      <c r="A41" s="96" t="s">
        <v>1571</v>
      </c>
      <c r="B41" s="98" t="str">
        <f>HYPERLINK("https://phet.colorado.edu/sims/html/charges-and-fields/latest/charges-and-fields_es.html","https://phet.colorado.edu/sims/html/charges-and-fields/latest/charges-and-fields_es.html")</f>
        <v>https://phet.colorado.edu/sims/html/charges-and-fields/latest/charges-and-fields_es.html</v>
      </c>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4.25" customHeight="1">
      <c r="A42" s="96" t="s">
        <v>1572</v>
      </c>
      <c r="B42" s="98" t="str">
        <f>HYPERLINK("https://phet.colorado.edu/sims/html/circuit-construction-kit-dc/latest/circuit-construction-kit-dc_es.html","https://phet.colorado.edu/sims/html/circuit-construction-kit-dc/latest/circuit-construction-kit-dc_es.html")</f>
        <v>https://phet.colorado.edu/sims/html/circuit-construction-kit-dc/latest/circuit-construction-kit-dc_es.html</v>
      </c>
      <c r="C42" s="72"/>
      <c r="D42" s="72"/>
      <c r="E42" s="72"/>
      <c r="F42" s="72"/>
      <c r="G42" s="72"/>
      <c r="H42" s="72"/>
      <c r="I42" s="72"/>
      <c r="J42" s="72"/>
      <c r="K42" s="72"/>
      <c r="L42" s="72"/>
      <c r="M42" s="72"/>
      <c r="N42" s="72"/>
      <c r="O42" s="72"/>
      <c r="P42" s="72"/>
      <c r="Q42" s="72"/>
      <c r="R42" s="72"/>
      <c r="S42" s="72"/>
      <c r="T42" s="72"/>
      <c r="U42" s="72"/>
      <c r="V42" s="72"/>
      <c r="W42" s="72"/>
      <c r="X42" s="72"/>
      <c r="Y42" s="72"/>
      <c r="Z42" s="72"/>
    </row>
    <row r="43" ht="14.25" customHeight="1">
      <c r="A43" s="96" t="s">
        <v>1573</v>
      </c>
      <c r="B43" s="98" t="str">
        <f>HYPERLINK("https://phet.colorado.edu/sims/html/collision-lab/latest/collision-lab_es.html","https://phet.colorado.edu/sims/html/collision-lab/latest/collision-lab_es.html")</f>
        <v>https://phet.colorado.edu/sims/html/collision-lab/latest/collision-lab_es.html</v>
      </c>
      <c r="C43" s="72"/>
      <c r="D43" s="72"/>
      <c r="E43" s="72"/>
      <c r="F43" s="72"/>
      <c r="G43" s="72"/>
      <c r="H43" s="72"/>
      <c r="I43" s="72"/>
      <c r="J43" s="72"/>
      <c r="K43" s="72"/>
      <c r="L43" s="72"/>
      <c r="M43" s="72"/>
      <c r="N43" s="72"/>
      <c r="O43" s="72"/>
      <c r="P43" s="72"/>
      <c r="Q43" s="72"/>
      <c r="R43" s="72"/>
      <c r="S43" s="72"/>
      <c r="T43" s="72"/>
      <c r="U43" s="72"/>
      <c r="V43" s="72"/>
      <c r="W43" s="72"/>
      <c r="X43" s="72"/>
      <c r="Y43" s="72"/>
      <c r="Z43" s="72"/>
    </row>
    <row r="44" ht="14.25" customHeight="1">
      <c r="A44" s="96" t="s">
        <v>1574</v>
      </c>
      <c r="B44" s="98" t="str">
        <f>HYPERLINK("https://phet.colorado.edu/sims/html/coulombs-law/latest/coulombs-law_es.html","https://phet.colorado.edu/sims/html/coulombs-law/latest/coulombs-law_es.html")</f>
        <v>https://phet.colorado.edu/sims/html/coulombs-law/latest/coulombs-law_es.html</v>
      </c>
      <c r="C44" s="72"/>
      <c r="D44" s="72"/>
      <c r="E44" s="72"/>
      <c r="F44" s="72"/>
      <c r="G44" s="72"/>
      <c r="H44" s="72"/>
      <c r="I44" s="72"/>
      <c r="J44" s="72"/>
      <c r="K44" s="72"/>
      <c r="L44" s="72"/>
      <c r="M44" s="72"/>
      <c r="N44" s="72"/>
      <c r="O44" s="72"/>
      <c r="P44" s="72"/>
      <c r="Q44" s="72"/>
      <c r="R44" s="72"/>
      <c r="S44" s="72"/>
      <c r="T44" s="72"/>
      <c r="U44" s="72"/>
      <c r="V44" s="72"/>
      <c r="W44" s="72"/>
      <c r="X44" s="72"/>
      <c r="Y44" s="72"/>
      <c r="Z44" s="72"/>
    </row>
    <row r="45" ht="14.25" customHeight="1">
      <c r="A45" s="96" t="s">
        <v>1575</v>
      </c>
      <c r="B45" s="98" t="str">
        <f>HYPERLINK("https://phet.colorado.edu/sims/html/density/latest/density_es.html","https://phet.colorado.edu/sims/html/density/latest/density_es.html")</f>
        <v>https://phet.colorado.edu/sims/html/density/latest/density_es.html</v>
      </c>
      <c r="C45" s="72"/>
      <c r="D45" s="72"/>
      <c r="E45" s="72"/>
      <c r="F45" s="72"/>
      <c r="G45" s="72"/>
      <c r="H45" s="72"/>
      <c r="I45" s="72"/>
      <c r="J45" s="72"/>
      <c r="K45" s="72"/>
      <c r="L45" s="72"/>
      <c r="M45" s="72"/>
      <c r="N45" s="72"/>
      <c r="O45" s="72"/>
      <c r="P45" s="72"/>
      <c r="Q45" s="72"/>
      <c r="R45" s="72"/>
      <c r="S45" s="72"/>
      <c r="T45" s="72"/>
      <c r="U45" s="72"/>
      <c r="V45" s="72"/>
      <c r="W45" s="72"/>
      <c r="X45" s="72"/>
      <c r="Y45" s="72"/>
      <c r="Z45" s="72"/>
    </row>
    <row r="46" ht="14.25" customHeight="1">
      <c r="A46" s="96" t="s">
        <v>1576</v>
      </c>
      <c r="B46" s="98" t="str">
        <f>HYPERLINK("https://phet.colorado.edu/sims/html/diffusion/latest/diffusion_es.html","https://phet.colorado.edu/sims/html/diffusion/latest/diffusion_es.html")</f>
        <v>https://phet.colorado.edu/sims/html/diffusion/latest/diffusion_es.html</v>
      </c>
      <c r="C46" s="72"/>
      <c r="D46" s="72"/>
      <c r="E46" s="72"/>
      <c r="F46" s="72"/>
      <c r="G46" s="72"/>
      <c r="H46" s="72"/>
      <c r="I46" s="72"/>
      <c r="J46" s="72"/>
      <c r="K46" s="72"/>
      <c r="L46" s="72"/>
      <c r="M46" s="72"/>
      <c r="N46" s="72"/>
      <c r="O46" s="72"/>
      <c r="P46" s="72"/>
      <c r="Q46" s="72"/>
      <c r="R46" s="72"/>
      <c r="S46" s="72"/>
      <c r="T46" s="72"/>
      <c r="U46" s="72"/>
      <c r="V46" s="72"/>
      <c r="W46" s="72"/>
      <c r="X46" s="72"/>
      <c r="Y46" s="72"/>
      <c r="Z46" s="72"/>
    </row>
    <row r="47" ht="14.25" customHeight="1">
      <c r="A47" s="96" t="s">
        <v>1577</v>
      </c>
      <c r="B47" s="98" t="str">
        <f>HYPERLINK("https://phet.colorado.edu/sims/html/states-of-matter-basics/latest/states-of-matter-basics_es.html","https://phet.colorado.edu/sims/html/states-of-matter-basics/latest/states-of-matter-basics_es.html")</f>
        <v>https://phet.colorado.edu/sims/html/states-of-matter-basics/latest/states-of-matter-basics_es.html</v>
      </c>
      <c r="C47" s="72"/>
      <c r="D47" s="72"/>
      <c r="E47" s="72"/>
      <c r="F47" s="72"/>
      <c r="G47" s="72"/>
      <c r="H47" s="72"/>
      <c r="I47" s="72"/>
      <c r="J47" s="72"/>
      <c r="K47" s="72"/>
      <c r="L47" s="72"/>
      <c r="M47" s="72"/>
      <c r="N47" s="72"/>
      <c r="O47" s="72"/>
      <c r="P47" s="72"/>
      <c r="Q47" s="72"/>
      <c r="R47" s="72"/>
      <c r="S47" s="72"/>
      <c r="T47" s="72"/>
      <c r="U47" s="72"/>
      <c r="V47" s="72"/>
      <c r="W47" s="72"/>
      <c r="X47" s="72"/>
      <c r="Y47" s="72"/>
      <c r="Z47" s="72"/>
    </row>
    <row r="48" ht="14.25" customHeight="1">
      <c r="A48" s="96" t="s">
        <v>1578</v>
      </c>
      <c r="B48" s="98" t="str">
        <f>HYPERLINK("https://phet.colorado.edu/sims/html/faradays-law/latest/faradays-law_es.html","https://phet.colorado.edu/sims/html/faradays-law/latest/faradays-law_es.html")</f>
        <v>https://phet.colorado.edu/sims/html/faradays-law/latest/faradays-law_es.html</v>
      </c>
      <c r="C48" s="72"/>
      <c r="D48" s="72"/>
      <c r="E48" s="72"/>
      <c r="F48" s="72"/>
      <c r="G48" s="72"/>
      <c r="H48" s="72"/>
      <c r="I48" s="72"/>
      <c r="J48" s="72"/>
      <c r="K48" s="72"/>
      <c r="L48" s="72"/>
      <c r="M48" s="72"/>
      <c r="N48" s="72"/>
      <c r="O48" s="72"/>
      <c r="P48" s="72"/>
      <c r="Q48" s="72"/>
      <c r="R48" s="72"/>
      <c r="S48" s="72"/>
      <c r="T48" s="72"/>
      <c r="U48" s="72"/>
      <c r="V48" s="72"/>
      <c r="W48" s="72"/>
      <c r="X48" s="72"/>
      <c r="Y48" s="72"/>
      <c r="Z48" s="72"/>
    </row>
    <row r="49" ht="14.25" customHeight="1">
      <c r="A49" s="96" t="s">
        <v>1579</v>
      </c>
      <c r="B49" s="98" t="str">
        <f>HYPERLINK("https://phet.colorado.edu/sims/html/buoyancy-basics/latest/buoyancy-basics_es.html","https://phet.colorado.edu/sims/html/buoyancy-basics/latest/buoyancy-basics_es.html")</f>
        <v>https://phet.colorado.edu/sims/html/buoyancy-basics/latest/buoyancy-basics_es.html</v>
      </c>
      <c r="C49" s="72"/>
      <c r="D49" s="72"/>
      <c r="E49" s="72"/>
      <c r="F49" s="72"/>
      <c r="G49" s="72"/>
      <c r="H49" s="72"/>
      <c r="I49" s="72"/>
      <c r="J49" s="72"/>
      <c r="K49" s="72"/>
      <c r="L49" s="72"/>
      <c r="M49" s="72"/>
      <c r="N49" s="72"/>
      <c r="O49" s="72"/>
      <c r="P49" s="72"/>
      <c r="Q49" s="72"/>
      <c r="R49" s="72"/>
      <c r="S49" s="72"/>
      <c r="T49" s="72"/>
      <c r="U49" s="72"/>
      <c r="V49" s="72"/>
      <c r="W49" s="72"/>
      <c r="X49" s="72"/>
      <c r="Y49" s="72"/>
      <c r="Z49" s="72"/>
    </row>
    <row r="50" ht="14.25" customHeight="1">
      <c r="A50" s="96" t="s">
        <v>1580</v>
      </c>
      <c r="B50" s="98" t="str">
        <f>HYPERLINK("https://phet.colorado.edu/sims/html/forces-and-motion-basics/latest/forces-and-motion-basics_es.html","https://phet.colorado.edu/sims/html/forces-and-motion-basics/latest/forces-and-motion-basics_es.html")</f>
        <v>https://phet.colorado.edu/sims/html/forces-and-motion-basics/latest/forces-and-motion-basics_es.html</v>
      </c>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4.25" customHeight="1">
      <c r="A51" s="96" t="s">
        <v>1581</v>
      </c>
      <c r="B51" s="98" t="str">
        <f>HYPERLINK("https://phet.colorado.edu/sims/html/greenhouse-effect/latest/greenhouse-effect_es.html","https://phet.colorado.edu/sims/html/greenhouse-effect/latest/greenhouse-effect_es.html")</f>
        <v>https://phet.colorado.edu/sims/html/greenhouse-effect/latest/greenhouse-effect_es.html</v>
      </c>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4.25" customHeight="1">
      <c r="A52" s="96" t="s">
        <v>1582</v>
      </c>
      <c r="B52" s="98" t="str">
        <f>HYPERLINK("https://phet.colorado.edu/sims/html/gas-properties/latest/gas-properties_es.html","https://phet.colorado.edu/sims/html/gas-properties/latest/gas-properties_es.html")</f>
        <v>https://phet.colorado.edu/sims/html/gas-properties/latest/gas-properties_es.html</v>
      </c>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4.25" customHeight="1">
      <c r="A53" s="96" t="s">
        <v>1583</v>
      </c>
      <c r="B53" s="98" t="str">
        <f>HYPERLINK("https://phet.colorado.edu/sims/html/gravity-and-orbits/latest/gravity-and-orbits_es.html","https://phet.colorado.edu/sims/html/gravity-and-orbits/latest/gravity-and-orbits_es.html")</f>
        <v>https://phet.colorado.edu/sims/html/gravity-and-orbits/latest/gravity-and-orbits_es.html</v>
      </c>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4.25" customHeight="1">
      <c r="A54" s="96" t="s">
        <v>1584</v>
      </c>
      <c r="B54" s="98" t="str">
        <f>HYPERLINK("https://phet.colorado.edu/sims/html/magnets-and-electromagnets/latest/magnets-and-electromagnets_es.html","https://phet.colorado.edu/sims/html/magnets-and-electromagnets/latest/magnets-and-electromagnets_es.html")</f>
        <v>https://phet.colorado.edu/sims/html/magnets-and-electromagnets/latest/magnets-and-electromagnets_es.html</v>
      </c>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4.25" customHeight="1">
      <c r="A55" s="96" t="s">
        <v>1585</v>
      </c>
      <c r="B55" s="98" t="str">
        <f>HYPERLINK("https://phet.colorado.edu/sims/html/isotopes-and-atomic-mass/latest/isotopes-and-atomic-mass_es.html","https://phet.colorado.edu/sims/html/isotopes-and-atomic-mass/latest/isotopes-and-atomic-mass_es.html")</f>
        <v>https://phet.colorado.edu/sims/html/isotopes-and-atomic-mass/latest/isotopes-and-atomic-mass_es.html</v>
      </c>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4.25" customHeight="1">
      <c r="A56" s="96" t="s">
        <v>1586</v>
      </c>
      <c r="B56" s="98" t="str">
        <f>HYPERLINK("https://phet.colorado.edu/sims/html/keplers-laws/latest/keplers-laws_es.html","https://phet.colorado.edu/sims/html/keplers-laws/latest/keplers-laws_es.html")</f>
        <v>https://phet.colorado.edu/sims/html/keplers-laws/latest/keplers-laws_es.html</v>
      </c>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4.25" customHeight="1">
      <c r="A57" s="96" t="s">
        <v>1587</v>
      </c>
      <c r="B57" s="98" t="str">
        <f>HYPERLINK("https://phet.colorado.edu/sims/html/balancing-act/latest/balancing-act_es.html","https://phet.colorado.edu/sims/html/balancing-act/latest/balancing-act_es.html")</f>
        <v>https://phet.colorado.edu/sims/html/balancing-act/latest/balancing-act_es.html</v>
      </c>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4.25" customHeight="1">
      <c r="A58" s="96" t="s">
        <v>1588</v>
      </c>
      <c r="B58" s="98" t="str">
        <f>HYPERLINK("https://phet.colorado.edu/sims/html/bending-light/latest/bending-light_es.html","https://phet.colorado.edu/sims/html/bending-light/latest/bending-light_es.html")</f>
        <v>https://phet.colorado.edu/sims/html/bending-light/latest/bending-light_es.html</v>
      </c>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4.25" customHeight="1">
      <c r="A59" s="96" t="s">
        <v>1589</v>
      </c>
      <c r="B59" s="98" t="str">
        <f>HYPERLINK("https://phet.colorado.edu/sims/html/ohms-law/latest/ohms-law_es.html","https://phet.colorado.edu/sims/html/ohms-law/latest/ohms-law_es.html")</f>
        <v>https://phet.colorado.edu/sims/html/ohms-law/latest/ohms-law_es.html</v>
      </c>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4.25" customHeight="1">
      <c r="A60" s="96" t="s">
        <v>1590</v>
      </c>
      <c r="B60" s="98" t="str">
        <f>HYPERLINK("https://phet.colorado.edu/sims/html/wave-on-a-string/latest/wave-on-a-string_es.html","https://phet.colorado.edu/sims/html/wave-on-a-string/latest/wave-on-a-string_es.html")</f>
        <v>https://phet.colorado.edu/sims/html/wave-on-a-string/latest/wave-on-a-string_es.html</v>
      </c>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4.25" customHeight="1">
      <c r="A61" s="96" t="s">
        <v>1591</v>
      </c>
      <c r="B61" s="98" t="str">
        <f>HYPERLINK("https://phet.colorado.edu/sims/html/waves-intro/latest/waves-intro_es.html","https://phet.colorado.edu/sims/html/waves-intro/latest/waves-intro_es.html")</f>
        <v>https://phet.colorado.edu/sims/html/waves-intro/latest/waves-intro_es.html</v>
      </c>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4.25" customHeight="1">
      <c r="A62" s="96" t="s">
        <v>1592</v>
      </c>
      <c r="B62" s="98" t="str">
        <f>HYPERLINK("https://phet.colorado.edu/sims/html/geometric-optics/latest/geometric-optics_es.html","https://phet.colorado.edu/sims/html/geometric-optics/latest/geometric-optics_es.html")</f>
        <v>https://phet.colorado.edu/sims/html/geometric-optics/latest/geometric-optics_es.html</v>
      </c>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4.25" customHeight="1">
      <c r="A63" s="96" t="s">
        <v>1593</v>
      </c>
      <c r="B63" s="98" t="str">
        <f>HYPERLINK("https://phet.colorado.edu/sims/html/pendulum-lab/latest/pendulum-lab_es.html","https://phet.colorado.edu/sims/html/pendulum-lab/latest/pendulum-lab_es.html")</f>
        <v>https://phet.colorado.edu/sims/html/pendulum-lab/latest/pendulum-lab_es.html</v>
      </c>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4.25" customHeight="1">
      <c r="A64" s="96" t="s">
        <v>1594</v>
      </c>
      <c r="B64" s="98" t="str">
        <f>HYPERLINK("https://phet.colorado.edu/sims/html/under-pressure/latest/under-pressure_es.html","https://phet.colorado.edu/sims/html/under-pressure/latest/under-pressure_es.html")</f>
        <v>https://phet.colorado.edu/sims/html/under-pressure/latest/under-pressure_es.html</v>
      </c>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4.25" customHeight="1">
      <c r="A65" s="96" t="s">
        <v>1595</v>
      </c>
      <c r="B65" s="98" t="str">
        <f>HYPERLINK("https://phet.colorado.edu/sims/html/projectile-motion/latest/projectile-motion_es.html","https://phet.colorado.edu/sims/html/projectile-motion/latest/projectile-motion_es.html")</f>
        <v>https://phet.colorado.edu/sims/html/projectile-motion/latest/projectile-motion_es.html</v>
      </c>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4.25" customHeight="1">
      <c r="A66" s="96" t="s">
        <v>1596</v>
      </c>
      <c r="B66" s="98" t="str">
        <f>HYPERLINK("https://phet.colorado.edu/sims/html/masses-and-springs/latest/masses-and-springs_es.html","https://phet.colorado.edu/sims/html/masses-and-springs/latest/masses-and-springs_es.html")</f>
        <v>https://phet.colorado.edu/sims/html/masses-and-springs/latest/masses-and-springs_es.html</v>
      </c>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4.25" customHeight="1">
      <c r="A67" s="96" t="s">
        <v>1597</v>
      </c>
      <c r="B67" s="98" t="str">
        <f>HYPERLINK("https://phet.colorado.edu/sims/html/energy-skate-park-basics/latest/energy-skate-park-basics_es.html","https://phet.colorado.edu/sims/html/energy-skate-park-basics/latest/energy-skate-park-basics_es.html")</f>
        <v>https://phet.colorado.edu/sims/html/energy-skate-park-basics/latest/energy-skate-park-basics_es.html</v>
      </c>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4.25" customHeight="1">
      <c r="A68" s="96" t="s">
        <v>1598</v>
      </c>
      <c r="B68" s="98" t="str">
        <f>HYPERLINK("https://www.proteccioncivil.gob.sv","https://www.proteccioncivil.gob.sv")</f>
        <v>https://www.proteccioncivil.gob.sv</v>
      </c>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4.2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4.25" customHeight="1">
      <c r="A70" s="97" t="s">
        <v>1599</v>
      </c>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4.25" customHeight="1">
      <c r="A71" s="97" t="s">
        <v>1600</v>
      </c>
      <c r="B71" s="97" t="s">
        <v>1601</v>
      </c>
      <c r="C71" s="97" t="s">
        <v>1602</v>
      </c>
      <c r="D71" s="97" t="s">
        <v>1603</v>
      </c>
      <c r="E71" s="72"/>
      <c r="F71" s="72"/>
      <c r="G71" s="72"/>
      <c r="H71" s="72"/>
      <c r="I71" s="72"/>
      <c r="J71" s="72"/>
      <c r="K71" s="72"/>
      <c r="L71" s="72"/>
      <c r="M71" s="72"/>
      <c r="N71" s="72"/>
      <c r="O71" s="72"/>
      <c r="P71" s="72"/>
      <c r="Q71" s="72"/>
      <c r="R71" s="72"/>
      <c r="S71" s="72"/>
      <c r="T71" s="72"/>
      <c r="U71" s="72"/>
      <c r="V71" s="72"/>
      <c r="W71" s="72"/>
      <c r="X71" s="72"/>
      <c r="Y71" s="72"/>
      <c r="Z71" s="72"/>
    </row>
    <row r="72" ht="14.25" customHeight="1">
      <c r="A72" s="96" t="s">
        <v>1604</v>
      </c>
      <c r="B72" s="96" t="s">
        <v>1605</v>
      </c>
      <c r="C72" s="96" t="s">
        <v>1606</v>
      </c>
      <c r="D72" s="96" t="s">
        <v>1607</v>
      </c>
      <c r="E72" s="72"/>
      <c r="F72" s="72"/>
      <c r="G72" s="72"/>
      <c r="H72" s="72"/>
      <c r="I72" s="72"/>
      <c r="J72" s="72"/>
      <c r="K72" s="72"/>
      <c r="L72" s="72"/>
      <c r="M72" s="72"/>
      <c r="N72" s="72"/>
      <c r="O72" s="72"/>
      <c r="P72" s="72"/>
      <c r="Q72" s="72"/>
      <c r="R72" s="72"/>
      <c r="S72" s="72"/>
      <c r="T72" s="72"/>
      <c r="U72" s="72"/>
      <c r="V72" s="72"/>
      <c r="W72" s="72"/>
      <c r="X72" s="72"/>
      <c r="Y72" s="72"/>
      <c r="Z72" s="72"/>
    </row>
    <row r="73" ht="14.25" customHeight="1">
      <c r="A73" s="96" t="s">
        <v>1608</v>
      </c>
      <c r="B73" s="96" t="s">
        <v>1609</v>
      </c>
      <c r="C73" s="96" t="s">
        <v>1610</v>
      </c>
      <c r="D73" s="96" t="s">
        <v>1611</v>
      </c>
      <c r="E73" s="72"/>
      <c r="F73" s="72"/>
      <c r="G73" s="72"/>
      <c r="H73" s="72"/>
      <c r="I73" s="72"/>
      <c r="J73" s="72"/>
      <c r="K73" s="72"/>
      <c r="L73" s="72"/>
      <c r="M73" s="72"/>
      <c r="N73" s="72"/>
      <c r="O73" s="72"/>
      <c r="P73" s="72"/>
      <c r="Q73" s="72"/>
      <c r="R73" s="72"/>
      <c r="S73" s="72"/>
      <c r="T73" s="72"/>
      <c r="U73" s="72"/>
      <c r="V73" s="72"/>
      <c r="W73" s="72"/>
      <c r="X73" s="72"/>
      <c r="Y73" s="72"/>
      <c r="Z73" s="72"/>
    </row>
    <row r="74" ht="14.25" customHeight="1">
      <c r="A74" s="96" t="s">
        <v>1612</v>
      </c>
      <c r="B74" s="96" t="s">
        <v>1613</v>
      </c>
      <c r="C74" s="96" t="s">
        <v>1606</v>
      </c>
      <c r="D74" s="96" t="s">
        <v>1614</v>
      </c>
      <c r="E74" s="72"/>
      <c r="F74" s="72"/>
      <c r="G74" s="72"/>
      <c r="H74" s="72"/>
      <c r="I74" s="72"/>
      <c r="J74" s="72"/>
      <c r="K74" s="72"/>
      <c r="L74" s="72"/>
      <c r="M74" s="72"/>
      <c r="N74" s="72"/>
      <c r="O74" s="72"/>
      <c r="P74" s="72"/>
      <c r="Q74" s="72"/>
      <c r="R74" s="72"/>
      <c r="S74" s="72"/>
      <c r="T74" s="72"/>
      <c r="U74" s="72"/>
      <c r="V74" s="72"/>
      <c r="W74" s="72"/>
      <c r="X74" s="72"/>
      <c r="Y74" s="72"/>
      <c r="Z74" s="72"/>
    </row>
    <row r="75" ht="14.2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4.25" customHeight="1">
      <c r="A76" s="97" t="s">
        <v>1615</v>
      </c>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4.25" customHeight="1">
      <c r="A77" s="96" t="s">
        <v>1616</v>
      </c>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4.25" customHeight="1">
      <c r="A78" s="96" t="s">
        <v>1617</v>
      </c>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4.25" customHeight="1">
      <c r="A79" s="96" t="s">
        <v>1618</v>
      </c>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4.25" customHeight="1">
      <c r="A80" s="96" t="s">
        <v>1619</v>
      </c>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4.2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4.2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4.2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4.2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4.2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4.2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4.2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4.2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4.2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4.2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4.2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4.2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4.2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4.2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4.2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4.2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4.2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4.2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4.2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4.2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4.2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4.2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4.2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4.2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4.2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4.2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4.2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4.2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4.2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4.2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4.2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4.2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4.2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4.2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4.2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4.2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4.2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4.2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4.2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4.2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4.2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4.2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4.2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4.2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4.2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4.2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4.2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4.2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4.2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4.2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4.2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4.2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4.2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4.2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4.2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4.2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4.2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4.2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4.2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4.2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4.2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4.2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4.2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4.2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4.2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4.2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4.2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4.2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4.2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4.2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4.2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4.2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4.2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4.2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4.2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4.2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4.2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4.2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4.2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4.2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4.2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4.2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4.2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4.2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4.2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4.2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4.2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4.2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4.2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4.2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4.2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4.2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4.2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4.2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4.2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4.2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4.2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4.2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4.2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4.2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4.2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4.2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4.2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4.2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4.2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4.2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4.2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4.2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4.2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4.2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4.2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4.2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4.2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4.2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4.2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4.2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4.2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4.2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4.2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4.2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4.2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4.2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4.2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4.2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4.2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4.2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4.2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4.2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4.2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4.2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4.2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4.2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4.2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4.2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4.2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4.2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4.2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4.2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4.2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4.2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4.2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4.2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4.2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4.2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4.2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4.2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4.2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4.2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4.2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4.2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4.2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4.2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4.2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4.2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4.2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4.2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4.2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4.2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4.2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4.2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4.2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4.2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4.2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4.2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4.2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4.2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4.2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4.2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4.2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4.2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4.2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4.2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4.2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4.2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4.2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4.2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4.2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4.2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4.2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4.2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4.2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4.2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4.2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4.2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4.2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4.2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4.2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4.2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4.2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4.2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4.2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4.2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4.2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4.2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4.2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4.2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4.2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4.2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4.2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4.2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4.2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4.2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4.2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4.2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4.2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4.2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4.2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4.2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4.2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4.2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4.2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4.2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4.2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4.2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4.2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4.2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4.2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4.2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4.2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4.2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4.2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4.2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4.2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4.2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4.2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4.2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4.2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4.2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4.2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4.2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4.2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4.2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4.2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4.2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4.2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4.2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4.2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4.2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4.2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4.2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4.2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4.2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4.2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4.2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4.2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4.2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4.2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4.2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4.2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4.2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4.2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4.2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4.2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4.2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4.2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4.2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4.2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4.2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4.2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4.2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4.2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4.2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4.2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4.2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4.2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4.2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4.2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4.2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4.2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4.2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4.2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4.2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4.2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4.2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4.2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4.2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4.2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4.2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4.2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4.2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4.2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4.2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4.2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4.2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4.2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4.2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4.2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4.2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4.2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4.2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4.2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4.2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4.2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4.2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4.2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4.2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4.2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4.2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4.2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4.2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4.2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4.2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4.2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4.2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4.2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4.2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4.2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4.2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4.2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4.2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4.2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4.2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4.2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4.2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4.2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4.2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4.2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4.2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4.2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4.2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4.2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4.2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4.2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4.2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4.2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4.2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4.2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4.2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4.2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4.2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4.2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4.2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4.2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4.2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4.2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4.2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4.2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4.2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4.2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4.2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4.2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4.2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4.2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4.2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4.2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4.2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4.2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4.2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4.2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4.2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4.2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4.2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4.2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4.2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4.2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4.2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4.2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4.2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4.2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4.2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4.2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4.2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4.2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4.2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4.2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4.2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4.2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4.2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4.2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4.2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4.2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4.2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4.2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4.2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4.2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4.2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4.2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4.2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4.2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4.2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4.2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4.2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4.2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4.2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4.2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4.2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4.2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4.2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4.2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4.2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4.2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4.2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4.2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4.2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4.2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4.2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4.2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4.2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4.2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4.2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4.2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4.2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4.2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4.2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4.2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4.2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4.2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4.2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4.2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4.2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4.2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4.2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4.2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4.2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4.2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4.2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4.2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4.2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4.2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4.2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4.2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4.2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4.2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4.2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4.2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4.2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4.2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4.2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4.2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4.2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4.2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4.2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4.2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4.2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4.2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4.2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4.2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4.2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4.2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4.2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4.2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4.2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4.2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4.2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4.2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4.2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4.2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4.2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4.2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4.2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4.2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4.2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4.2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4.2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4.2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4.2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4.2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4.2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4.2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4.2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4.2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4.2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4.2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4.2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4.2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4.2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4.2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4.2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4.2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4.2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4.2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4.2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4.2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4.2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4.2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4.2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4.2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4.2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4.2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4.2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4.2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4.2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4.2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4.2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4.2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4.2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4.2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4.2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4.2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4.2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4.2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4.2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4.2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4.2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4.2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4.2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4.2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4.2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4.2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4.2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4.2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4.2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4.2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4.2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4.2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4.2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4.2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4.2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4.2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4.2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4.2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4.2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4.2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4.2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4.2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4.2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4.2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4.2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4.2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4.2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4.2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4.2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4.2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4.2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4.2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4.2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4.2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4.2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4.2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4.2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4.2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4.2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4.2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4.2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4.2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4.2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4.2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4.2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4.2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4.2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4.2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4.2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4.2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4.2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4.2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4.2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4.2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4.2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4.2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4.2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4.2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4.2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4.2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4.2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4.2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4.2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4.2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4.2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4.2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4.2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4.2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4.2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4.2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4.2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4.2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4.2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4.2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4.2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4.2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4.2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4.2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4.2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4.2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4.2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4.2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4.2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4.2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4.2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4.2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4.2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4.2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4.2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4.2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4.2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4.2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4.2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4.2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4.2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4.2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4.2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4.2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4.2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4.2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4.2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4.2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4.2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4.2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4.2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4.2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4.2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4.2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4.2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4.2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4.2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4.2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4.2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4.2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4.2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4.2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4.2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4.2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4.2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4.2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4.2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4.2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4.2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4.2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4.2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4.2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4.2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4.2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4.2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4.2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4.2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4.2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4.2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4.2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4.2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4.2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4.2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4.2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4.2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4.2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4.2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4.2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4.2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4.2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4.2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4.2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4.2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4.2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4.2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4.2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4.2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4.2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4.2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4.2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4.2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4.2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4.2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4.2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4.2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4.2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4.2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4.2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4.2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4.2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4.2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4.2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4.2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4.2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4.2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4.2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4.2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4.2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4.2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4.2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4.2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4.2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4.2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4.2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4.2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4.2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4.2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4.2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4.2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4.2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4.2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4.2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4.2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4.2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4.2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4.2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4.2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4.2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4.2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4.2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4.2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4.2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4.2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4.2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4.2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4.2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4.2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4.2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4.2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4.2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4.2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4.2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4.2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4.2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4.2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4.2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4.2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4.2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4.2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4.2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4.2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4.2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4.2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4.2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4.2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4.2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4.2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4.2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4.2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4.2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4.2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4.2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4.2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4.2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4.2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4.2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4.2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4.2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4.2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4.2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4.2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4.2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4.2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4.2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4.2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4.2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4.2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4.2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4.2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4.2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4.2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4.2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4.2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4.2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4.2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4.2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4.2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4.2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4.2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4.2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4.2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4.2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4.2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4.2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4.2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4.2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4.2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4.2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4.2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4.2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4.2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4.2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4.2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4.2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4.2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4.2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4.2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4.2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4.2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4.2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4.2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4.2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4.2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4.2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4.2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4.2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4.2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4.2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4.2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4.2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4.2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4.2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4.2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4.2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4.2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4.2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4.2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4.2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4.2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4.2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4.2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4.2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4.2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4.2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4.2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4.2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4.2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4.2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4.2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4.2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4.2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4.2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4.2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4.2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4.2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4.2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4.2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4.2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4.2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4.2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4.2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4.2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4.2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4.2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4.2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4.2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4.2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4.2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4.2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4.2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4.2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4.2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4.2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4.2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4.2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4.2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4.2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4.2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4.2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4.2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4.2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4.2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4.2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4.2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4.2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4.2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4.2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4.2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4.2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4.2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4.2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4.2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4.2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4.2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4.2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4.2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4.2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4.2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4.2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4.2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4.2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4.2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4.2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4.2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4.2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4.2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4.2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4.2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4.2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4.2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4.2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4.2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4.2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4.2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4.2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4.2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4.2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4.2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4.2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4.2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4.2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4.2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4.2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4.2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4.2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4.2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4.2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4.2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4.2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4.2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4.2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4.2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4.2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4.2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4.2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4.2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4.2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4.2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4.2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4.2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4.2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4.2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4.2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4.2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4.2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4.2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4.2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4.2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4.2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4.2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4.2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4.2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4.2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4.2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4.2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4.2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4.2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4.2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4.2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4.2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4.2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4.2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4.2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4.2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4.2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4.2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4.2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4.2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4.2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4.2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4.2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4.2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ht="14.2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rintOptions/>
  <pageMargins bottom="0.75" footer="0.0" header="0.0" left="0.5" right="0.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2026-10-05T04:26:26Z</dcterms:created>
  <dc:creator>openpyxl</dc:creator>
</cp:coreProperties>
</file>