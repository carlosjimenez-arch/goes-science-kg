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a de unidades" sheetId="1" r:id="rId4"/>
    <sheet state="visible" name="Química 10.°" sheetId="2" r:id="rId5"/>
    <sheet state="visible" name="Química 11.°" sheetId="3" r:id="rId6"/>
    <sheet state="visible" name="Microhabilidades PISA" sheetId="4" r:id="rId7"/>
    <sheet state="visible" name="Habilidades transversales" sheetId="5" r:id="rId8"/>
    <sheet state="visible" name="DigComp 3.0" sheetId="6" r:id="rId9"/>
    <sheet state="visible" name="Notas" sheetId="7" r:id="rId10"/>
    <sheet state="visible" name="Herramientas IA" sheetId="8" r:id="rId11"/>
  </sheets>
  <definedNames/>
  <calcPr/>
  <extLst>
    <ext uri="GoogleSheetsCustomDataVersion2">
      <go:sheetsCustomData xmlns:go="http://customooxmlschemas.google.com/" r:id="rId12" roundtripDataChecksum="y+/2Z4dTLB7cq/y3tubLtCiT26FoPDACQGarJbzd4E0="/>
    </ext>
  </extLst>
</workbook>
</file>

<file path=xl/sharedStrings.xml><?xml version="1.0" encoding="utf-8"?>
<sst xmlns="http://schemas.openxmlformats.org/spreadsheetml/2006/main" count="3105" uniqueCount="2625">
  <si>
    <t>Malla de Química — Bachillerato (10.° y 11.° grado): mapa de unidades</t>
  </si>
  <si>
    <t>Código</t>
  </si>
  <si>
    <t>Base: malla oficial de Ciencia y Tecnología de El Salvador y base sugerida «Malla_Curricular_CyT_ajustada_TIMSS_PISA_2» (pestaña «Bachillerato - Química»). Detalle de las unidades nuevas: Planeadores Química I y II. La distribución horaria queda pendiente, por decisión del equipo.</t>
  </si>
  <si>
    <t>Competencia PISA 2025</t>
  </si>
  <si>
    <t>Microhabilidad (marco PISA 2025)</t>
  </si>
  <si>
    <t>Año</t>
  </si>
  <si>
    <t>Cómo se ve en Bachillerato</t>
  </si>
  <si>
    <t>Fase donde más se trabaja</t>
  </si>
  <si>
    <t>N.°</t>
  </si>
  <si>
    <t>Unidad</t>
  </si>
  <si>
    <t>Origen</t>
  </si>
  <si>
    <t>E1</t>
  </si>
  <si>
    <t>Eje integrador</t>
  </si>
  <si>
    <t>Temas</t>
  </si>
  <si>
    <t>Fuente</t>
  </si>
  <si>
    <t>Horas (por definir)</t>
  </si>
  <si>
    <t>1. Explicar fenómenos científicamente</t>
  </si>
  <si>
    <t>Observaciones (superposiciones y ajustes)</t>
  </si>
  <si>
    <t>Recordar y aplicar el conocimiento científico apropiado</t>
  </si>
  <si>
    <t>10.° grado (1.° Bachillerato)</t>
  </si>
  <si>
    <t>Recupera lo visto en grados anteriores y lo aplica con precisión a un fenómeno nuevo, con lenguaje y magnitudes científicas.</t>
  </si>
  <si>
    <t>Aproximar, Explicar</t>
  </si>
  <si>
    <t>E2</t>
  </si>
  <si>
    <t>Usar distintas formas de representación y pasar de una a otra</t>
  </si>
  <si>
    <t>Traduce entre texto, diagramas, gráficas, ecuaciones y tablas (p. ej., de una gráfica posición-tiempo a la ecuación del movimiento).</t>
  </si>
  <si>
    <t>Explicar</t>
  </si>
  <si>
    <t>E3</t>
  </si>
  <si>
    <t>Hacer y justificar predicciones y soluciones científicas</t>
  </si>
  <si>
    <t>Predice resultados cuantitativos o cualitativos antes de medir y justifica la predicción con un principio o modelo.</t>
  </si>
  <si>
    <t>Explorar, Reforzar</t>
  </si>
  <si>
    <t>E4</t>
  </si>
  <si>
    <t>Identificar, construir y evaluar modelos</t>
  </si>
  <si>
    <t>Construye modelos físicos, matemáticos o computacionales, los usa para explicar y señala sus supuestos y límites.</t>
  </si>
  <si>
    <t>Explicar, Indagar</t>
  </si>
  <si>
    <t>E5</t>
  </si>
  <si>
    <t>La química como ciencia: ciclo de indagación</t>
  </si>
  <si>
    <t>Reconocer y desarrollar hipótesis explicativas</t>
  </si>
  <si>
    <t>Formula hipótesis comprobables que relacionan variables y las distingue de simples conjeturas.</t>
  </si>
  <si>
    <t>Explorar</t>
  </si>
  <si>
    <t>Nuevo (planeador)</t>
  </si>
  <si>
    <t>E6</t>
  </si>
  <si>
    <t>Sistemas</t>
  </si>
  <si>
    <t>Explicar las implicaciones del conocimiento científico para la sociedad</t>
  </si>
  <si>
    <t>Relaciona el contenido con problemas y decisiones de El Salvador (energía, agua, salud, riesgos, industria, ambiente).</t>
  </si>
  <si>
    <t>Aproximar, Reforzar</t>
  </si>
  <si>
    <t>D1</t>
  </si>
  <si>
    <t>2. Construir y evaluar diseños para la indagación científica e interpretar datos y evidencia de forma crítica</t>
  </si>
  <si>
    <t>Identificar la pregunta de una investigación científica</t>
  </si>
  <si>
    <t>Delimita una pregunta investigable y las variables que implica.</t>
  </si>
  <si>
    <t>D2</t>
  </si>
  <si>
    <t>Proponer un diseño experimental apropiado</t>
  </si>
  <si>
    <t>Contenido</t>
  </si>
  <si>
    <t>Diseña el procedimiento: variables, controles, instrumentos, número de repeticiones y medidas de seguridad.</t>
  </si>
  <si>
    <t>Planeador Química I</t>
  </si>
  <si>
    <t>Indagar</t>
  </si>
  <si>
    <t>D3</t>
  </si>
  <si>
    <t>Integra la unidad 2 del planeador (2.1–2.4). Sin 1.7 ni 2.5–2.8.</t>
  </si>
  <si>
    <t>Evaluar si un diseño es el adecuado para responder la pregunta</t>
  </si>
  <si>
    <t>Critica un diseño propio o ajeno (control de variables, fuentes de error, tamaño de muestra) y propone mejoras.</t>
  </si>
  <si>
    <t>Indagar, Reforzar</t>
  </si>
  <si>
    <t>Las cantidades en química</t>
  </si>
  <si>
    <t>N° Clase</t>
  </si>
  <si>
    <t>D4</t>
  </si>
  <si>
    <t>Interacciones</t>
  </si>
  <si>
    <t>Interpretar datos en distintas representaciones y sacar conclusiones apropiadas</t>
  </si>
  <si>
    <t>Procesa datos (tablas, gráficas, ajuste lineal, incertidumbre) y extrae conclusiones sustentadas y limitadas por los datos.</t>
  </si>
  <si>
    <t>I1</t>
  </si>
  <si>
    <t>Profundiza el mol y la estequiometría de 8.°.</t>
  </si>
  <si>
    <t>3. Investigar, evaluar y usar información científica para tomar decisiones y actuar</t>
  </si>
  <si>
    <t>Buscar, evaluar y comunicar el valor de distintas fuentes de información</t>
  </si>
  <si>
    <t>Busca en fuentes científicas y oficiales (MARN, MINSAL, bases de datos) y valora su fiabilidad, autoría y actualidad.</t>
  </si>
  <si>
    <t>Subcontenidos</t>
  </si>
  <si>
    <t>Modelos atómicos y estructura</t>
  </si>
  <si>
    <t>I2</t>
  </si>
  <si>
    <t>Organización</t>
  </si>
  <si>
    <t>Distinguir afirmaciones con evidencia, de expertos o no expertos, y opiniones</t>
  </si>
  <si>
    <t>Procedimental</t>
  </si>
  <si>
    <t>Separa afirmaciones respaldadas por datos o por consenso experto de opiniones, publicidad o desinformación.</t>
  </si>
  <si>
    <t>I3</t>
  </si>
  <si>
    <t>Tabla periódica de los elementos</t>
  </si>
  <si>
    <t>Construir un argumento a partir de datos</t>
  </si>
  <si>
    <t>Argumenta una conclusión con datos propios o publicados, con afirmación, evidencia y razonamiento.</t>
  </si>
  <si>
    <t>Indicador avanzado</t>
  </si>
  <si>
    <t>I4</t>
  </si>
  <si>
    <t>Criticar fallas comunes en argumentos científicos</t>
  </si>
  <si>
    <t>Detecta errores frecuentes: correlación tomada como causa, generalización con pocos datos, cifras sin unidades o sin incertidumbre.</t>
  </si>
  <si>
    <t>Actitudinal</t>
  </si>
  <si>
    <t>Reforzar</t>
  </si>
  <si>
    <t>Los enlaces químicos</t>
  </si>
  <si>
    <t>I5</t>
  </si>
  <si>
    <t>Justificar decisiones con argumentos científicos, individuales o comunitarios</t>
  </si>
  <si>
    <t>Toma y defiende decisiones personales o comunitarias (consumo de energía, manejo de residuos, salud) con base científica.</t>
  </si>
  <si>
    <t>Los gases</t>
  </si>
  <si>
    <t>Secuencia didáctica y microhabilidades</t>
  </si>
  <si>
    <t>Microhabilidades PISA por fase de la secuencia didáctica (ver hoja «Microhabilidades PISA»)</t>
  </si>
  <si>
    <t>1. Aproximar</t>
  </si>
  <si>
    <t>Sin 8.7–8.8 (teoría cinética, en Física). Enfoque molar.</t>
  </si>
  <si>
    <t>Un fenómeno del mundo real</t>
  </si>
  <si>
    <t>E1, E6: reconocer el fenómeno y conectarlo con lo visto antes y con el contexto salvadoreño.</t>
  </si>
  <si>
    <t>Los líquidos y los sólidos</t>
  </si>
  <si>
    <t>Sin 9.5 (en Física).</t>
  </si>
  <si>
    <t>Habilidad del siglo XXI
(foco del tema y fase)</t>
  </si>
  <si>
    <t>Disoluciones y coloides</t>
  </si>
  <si>
    <t>2. Explorar</t>
  </si>
  <si>
    <t>Incluye solubilidad; Kps en 11.°.</t>
  </si>
  <si>
    <t>Qué sabemos y qué queremos saber</t>
  </si>
  <si>
    <t>D1, E5, E3: formular la pregunta, plantear hipótesis y predecir.</t>
  </si>
  <si>
    <t>Reacciones químicas</t>
  </si>
  <si>
    <t>Habilidad TIMSS</t>
  </si>
  <si>
    <t>Planeador Química I + Propuesta</t>
  </si>
  <si>
    <t>Evidencia de aprendizaje</t>
  </si>
  <si>
    <t>11.1–11.2 + dos temas propuestos (evidencias y seguridad).</t>
  </si>
  <si>
    <t>3. Explicar</t>
  </si>
  <si>
    <t>Ideas clave en video y actividades</t>
  </si>
  <si>
    <t>Cálculos estequiométricos</t>
  </si>
  <si>
    <t>E1, E2, E4: construir la idea clave, representarla y modelarla.</t>
  </si>
  <si>
    <t>Competencia marco MEN</t>
  </si>
  <si>
    <t>4. Indagar</t>
  </si>
  <si>
    <t>Indicadores de logro</t>
  </si>
  <si>
    <t>Analizar datos y responder preguntas</t>
  </si>
  <si>
    <t>Termodinámica en reacciones químicas</t>
  </si>
  <si>
    <t>D2, D3, D4, I1, I2, I3 (y E4): diseñar, evaluar el diseño, analizar datos y contrastar fuentes.</t>
  </si>
  <si>
    <t>Energía</t>
  </si>
  <si>
    <t>Dominio clave</t>
  </si>
  <si>
    <t>Sin 12.1 (en Física).</t>
  </si>
  <si>
    <t>5. Reforzar</t>
  </si>
  <si>
    <t>Aplicar en nuevos contextos</t>
  </si>
  <si>
    <t>Cinética y equilibrio químico</t>
  </si>
  <si>
    <t>E3, E6, I4, I5 (y D3, I1, I2): transferir, criticar argumentos y tomar decisiones.</t>
  </si>
  <si>
    <t>Competencia digital (DigComp 3.0)</t>
  </si>
  <si>
    <t>Actividad digital</t>
  </si>
  <si>
    <t>Profundiza el equilibrio químico de 9.°.</t>
  </si>
  <si>
    <t>Total 10.° grado (1.° Bachillerato)</t>
  </si>
  <si>
    <t>Fuente: OECD, PISA 2025 Science Framework (competencias y habilidades que las componen). Traducción propia al español. PISA evalúa a estudiantes de 15 años; en Bachillerato las microhabilidades se trabajan con mayor autonomía y tratamiento cuantitativo.</t>
  </si>
  <si>
    <t>Habilidad transversal
(vinculada a DigComp 3.0)</t>
  </si>
  <si>
    <t>12 unidades</t>
  </si>
  <si>
    <t>Notación</t>
  </si>
  <si>
    <t>Origen del contenido</t>
  </si>
  <si>
    <t>1. Aproximar
Un fenómeno del mundo real</t>
  </si>
  <si>
    <t>2. Explorar
Qué sabemos y qué queremos saber</t>
  </si>
  <si>
    <t>3. Explicar
Ideas clave en video y actividades</t>
  </si>
  <si>
    <t>4. Indagar
Analizar datos y responder preguntas</t>
  </si>
  <si>
    <t>5. Reforzar
Aplicar en nuevos contextos</t>
  </si>
  <si>
    <t>U1 - Eje integrador: sistemas</t>
  </si>
  <si>
    <t>1. La química como ciencia: ciclo de indagación</t>
  </si>
  <si>
    <t>La química y su método</t>
  </si>
  <si>
    <t>11.° grado (2.° Bachillerato)</t>
  </si>
  <si>
    <t>Objeto de estudio de la química
La química como ciencia central</t>
  </si>
  <si>
    <t>1.1. Análisis de la química como ciencia central que conecta las ciencias físicas, las ciencias de la vida y las ciencias aplicadas.</t>
  </si>
  <si>
    <t>Planifica y ejecuta una investigación de laboratorio en química, registra mediciones con el número correcto de cifras significativas y evalúa la exactitud y la precisión de sus resultados. Selecciona y justifica el método de separación adecuado para caracterizar una mezcla a partir de las propiedades de sus componentes.</t>
  </si>
  <si>
    <t>Ciencia de materiales</t>
  </si>
  <si>
    <t>Oficial</t>
  </si>
  <si>
    <t>Rigor y honestidad en el registro y el redondeo de datos experimentales. Responsabilidad con la seguridad en el laboratorio y con la disposición correcta de los residuos químicos.</t>
  </si>
  <si>
    <t>Tecnología</t>
  </si>
  <si>
    <t>Malla oficial 11.° grado, Unidad 7 (3 semanas oficiales)</t>
  </si>
  <si>
    <t>Oficial de 11.°.</t>
  </si>
  <si>
    <t>Introducción a la química orgánica</t>
  </si>
  <si>
    <t>E1 · Recuerda procesos del entorno salvadoreño, como el beneficiado del café, la producción de azúcar de caña o la potabilización del agua, e identifica la química presente en ellos.</t>
  </si>
  <si>
    <t>Malla oficial 10.° grado, Unidad 4 (4 semanas oficiales)</t>
  </si>
  <si>
    <t>Oficial de 10.° ubicada en 11.° por la base sugerida. Cubre Planeador Química II 7.1–7.7.</t>
  </si>
  <si>
    <t>E5 · Plantea una hipótesis explicativa sobre por qué la química se considera una «ciencia central» entre la física y la biología.</t>
  </si>
  <si>
    <t>E2 · Construye un diagrama de red que ubica la química en el centro y la conecta con la física, la biología, la geología, la medicina y la agronomía mediante ejemplos concretos.</t>
  </si>
  <si>
    <t>I1 · Busca en fuentes confiables un caso de investigación salvadoreña, como el análisis del agua del río Lempa, que requiera la colaboración de varias disciplinas.</t>
  </si>
  <si>
    <t>Compuestos orgánicos</t>
  </si>
  <si>
    <t>E6 · Argumenta por qué una persona que no será química necesita comprender conceptos químicos para tomar decisiones sobre salud y ambiente.</t>
  </si>
  <si>
    <t>Comunicación (Aproximar)
Presenta a la clase en dos minutos un proceso salvadoreño elegido y explica con vocabulario químico qué transformación de la materia ocurre en él.</t>
  </si>
  <si>
    <t>Malla oficial 10.° grado, Unidad 5 (5 semanas oficiales)</t>
  </si>
  <si>
    <t>Oficial de 10.° ubicada en 11.°. Cubre nomenclatura y propiedades del planeador.</t>
  </si>
  <si>
    <t>U1 - Eje integrador: tecnología</t>
  </si>
  <si>
    <t>Reacción ácido-base</t>
  </si>
  <si>
    <t>Conocer: describir la relación de la química con la física, la biología, la medicina y la ingeniería</t>
  </si>
  <si>
    <t>Diagrama de red de la química como ciencia central con cinco ejemplos salvadoreños justificados</t>
  </si>
  <si>
    <t>Planeador Química II</t>
  </si>
  <si>
    <t>INDAGACIÓN: Aplicar el método científico a problemas químicos del entorno, midiendo con exactitud y precisión y expresando los resultados con notación científica y cifras significativas, para caracterizar la materia y separar sus componentes.</t>
  </si>
  <si>
    <t>Unidades 1 y 2 del planeador. Profundiza 9.°.</t>
  </si>
  <si>
    <t>Reacciones de precipitación</t>
  </si>
  <si>
    <t>Sin 3.1–3.2 (solubilidad en 10.°).</t>
  </si>
  <si>
    <t>1.1. Explica con ejemplos del entorno cómo la química se relaciona con la física, la biología, la medicina y la ingeniería.</t>
  </si>
  <si>
    <t>Electroquímica</t>
  </si>
  <si>
    <t>Oficial + 2 temas nuevos</t>
  </si>
  <si>
    <t>La química estudia la composición, la estructura y las transformaciones de la materia mediante un ciclo de indagación que exige mediciones cuidadosas y la comunicación honesta de su incertidumbre. Este conocimiento sustenta la producción de alimentos, medicamentos y materiales, así como el control de la calidad del agua y del aire que respira la población.</t>
  </si>
  <si>
    <t>Malla oficial 10.° grado, Unidad 1 (3 semanas oficiales)</t>
  </si>
  <si>
    <t>Oficial de 10.° ubicada en 11.°, + Nernst y corrosión. Cubre el resto del planeador unidad 4.</t>
  </si>
  <si>
    <t>1. Ciencia de materiales</t>
  </si>
  <si>
    <t>Química industrial</t>
  </si>
  <si>
    <t>Nuevo (propuesta)</t>
  </si>
  <si>
    <t>Metales y cerámicas</t>
  </si>
  <si>
    <t>Propuesta</t>
  </si>
  <si>
    <t>Propuesta (sin planeador).</t>
  </si>
  <si>
    <t>Reacciones nucleares</t>
  </si>
  <si>
    <r>
      <rPr>
        <rFont val="Arial"/>
        <color theme="1"/>
        <sz val="9.0"/>
      </rPr>
      <t>1.1 Navegación, búsqueda y filtrado de información – Básico</t>
    </r>
    <r>
      <rPr>
        <rFont val="Arial"/>
        <color rgb="FF7030A0"/>
        <sz val="9.0"/>
      </rPr>
      <t xml:space="preserve">
Con la IA (DigComp 3.0, nivel real): CS1.2.13 – Intermedio: valora qué tan confiable es una fuente, teniendo en cuenta el papel de la IA.</t>
    </r>
  </si>
  <si>
    <t>Planeador Física II + Planeador Química II</t>
  </si>
  <si>
    <t>6.2, 6.5, 6.9 + series (Física II 16.8).</t>
  </si>
  <si>
    <t>Propiedades y arreglos atómicos de los metales
Aleaciones</t>
  </si>
  <si>
    <r>
      <rPr>
        <rFont val="Arial"/>
        <color theme="1"/>
        <sz val="9.0"/>
      </rPr>
      <t>Buscar con operadores y filtros de dominio artículos de universidades salvadoreñas sobre investigación química aplicada y seleccionar los más pertinentes.</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Dibuja primero una red con la química al centro conectada con física, biología, geología y medicina, usando un proceso salvadoreño: beneficiado del café, azúcar de caña o potabilización del agua. Luego pregúntale al cuaderno de NotebookLM: «¿Qué ciencias intervienen en la potabilización del agua según estas fuentes?». Compara con tu red y revisa en la cita cada conexión nueva antes de agregarla.
Evidencia: Ficha «Yo pienso · La IA dice · Lo comprobé»: tu red dibujada; la «Respuesta de IA» rotulada con las fuentes que citó; en «Lo comprobé» marca ✔ o ✘ cada conexión según lo que dice la fuente. Una línea en tu registro de uso de IA.
Refuerza con: ANDA (https://www.anda.gob.sv)
→ PISA E6 · TIMSS Aplicar</t>
    </r>
  </si>
  <si>
    <t>Compuestos del carbono</t>
  </si>
  <si>
    <t>1.1. Comparación de las propiedades de los principales metales y aleaciones utilizadas en la industria electrónica.</t>
  </si>
  <si>
    <t>Uso ético de la información
Registra la referencia completa de cada artículo consultado y distingue sus propias ideas de las tomadas de las fuentes.
↳ Se trabaja en la actividad digital (DigComp 1.1).</t>
  </si>
  <si>
    <t>Utiliza la teoría de bandas para explicar las propiedades de los metales. Investiga las propiedades y aplicaciones de los semiconductores.</t>
  </si>
  <si>
    <t>Reactividad y mecanismos (planeador unidad 8 y 7.8).</t>
  </si>
  <si>
    <t>Polímeros y macromoléculas</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</si>
  <si>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m: masa, en kilogramos, kg (en el laboratorio, en gramos, g). V: volumen, en metros cúbicos, m³ (en el laboratorio, en mililitros, mL, o centímetros cúbicos, cm³). ρ: densidad, en kilogramos por metro cúbico, kg/m³ (en el laboratorio, g/mL o g/cm³). Rf: factor de retención en cromatografía, adimensional. Er: error relativo, expresado en porcentaje, %. Los números muy grandes o muy pequeños se expresan en notación científica, a × 10ⁿ, con 1 ≤ a &lt; 10.</t>
  </si>
  <si>
    <t>Planeador Química II + Propuesta</t>
  </si>
  <si>
    <t>Sin 9.1, 9.4 ni 9.5. + microplásticos.</t>
  </si>
  <si>
    <t>Carbohidratos y lípidos</t>
  </si>
  <si>
    <t>Apropiación de los hábitos de reciclaje y descarte apropiados de residuos sólidos. Interés por conocer la composición de diferentes productos y dispositivos de uso cotidiano.</t>
  </si>
  <si>
    <t>Nuevo (planeador)
Planeador Química I · 1.1</t>
  </si>
  <si>
    <t>Enfoque químico; función y metabolismo en Biología 10.°.</t>
  </si>
  <si>
    <t>El método científico en química</t>
  </si>
  <si>
    <t>Proteínas y ácidos nucleicos</t>
  </si>
  <si>
    <t>Observación, pregunta e hipótesis
Experimentación y control de variables
Conclusión y comunicación</t>
  </si>
  <si>
    <t>1.2. Aplicación de las etapas del método científico a una investigación química sencilla con materiales seguros.</t>
  </si>
  <si>
    <t>Enfoque químico; 11.5–11.7 fusionados.</t>
  </si>
  <si>
    <t>Total 11.° grado (2.° Bachillerato)</t>
  </si>
  <si>
    <t>E1 · Recuerda lo que hizo en grados anteriores para presentar resultados con error de medida y lo relaciona con las etapas del método científico.</t>
  </si>
  <si>
    <t>D1 · Pregunta guía: «¿Influye la temperatura del agua en el tiempo que tarda en disolverse una tableta efervescente?».</t>
  </si>
  <si>
    <t>E1 · Describe la función de cada etapa del método científico y diferencia variable independiente, dependiente y controlada.</t>
  </si>
  <si>
    <t>D2 · Propone un diseño experimental con tres temperaturas del agua, repeticiones y control de la masa de la tableta; el agua caliente la prepara la docente.</t>
  </si>
  <si>
    <t>D3 · Evalúa el diseño de otro equipo e identifica fuentes de error y mejoras posibles en el control de variables.</t>
  </si>
  <si>
    <t>Colaboración (Indagar)
Distribuye en el equipo los roles de cronometrista, registrador y experimentador y rota los roles en cada repetición.</t>
  </si>
  <si>
    <t>Aplicar: controlar variables y medir. Razonar: contrastar hipótesis con datos</t>
  </si>
  <si>
    <t>Informe de laboratorio con hipótesis, diseño, tabla de tiempos, gráfica y conclusión</t>
  </si>
  <si>
    <t>1.6. Diseña y ejecuta una investigación química sencilla en la que controla variables y contrasta su hipótesis con los resultados.</t>
  </si>
  <si>
    <r>
      <rPr>
        <rFont val="Arial"/>
        <color theme="1"/>
        <sz val="9.0"/>
      </rPr>
      <t>3.1 Desarrollo de contenidos digitales – Básico</t>
    </r>
    <r>
      <rPr>
        <rFont val="Arial"/>
        <color rgb="FF7030A0"/>
        <sz val="9.0"/>
      </rPr>
      <t xml:space="preserve">
Con la IA (DigComp 3.0, nivel real): CS2.1.10 – Intermedio: formula y mejora instrucciones (prompts) para un asistente de IA.</t>
    </r>
  </si>
  <si>
    <t>E1 · Recuerda del modelo de enlace metálico visto en grados anteriores por qué el cobre de los cables conduce la electricidad.</t>
  </si>
  <si>
    <r>
      <rPr>
        <rFont val="Arial"/>
        <color theme="1"/>
        <sz val="9.0"/>
      </rPr>
      <t>Elaborar el informe de laboratorio en un procesador de textos con tabla, gráfica insertada y formato de secciones del método científico.</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Diseña tú una investigación: «¿La temperatura del agua cambia el tiempo que tarda en disolverse una pastilla efervescente?». Escribe hipótesis, variables independiente, dependiente y controladas, y procedimiento con agua fría, ambiente y tibia del grifo. Después pega solo tu diseño y pide a la IA: «Revisa este diseño experimental y dime qué variable no estoy controlando». Hazlo con 3 repeticiones y decide tú si su sugerencia mejoró tus datos.
Evidencia: Informe breve con hipótesis, tabla de tiempos y conclusión; la sugerencia rotulada «Respuesta de IA» y la declaración «Así usé la IA: … · Lo que revisé yo: …». Una línea en tu registro de uso de IA.
→ PISA D2 · TIMSS Razonar</t>
    </r>
  </si>
  <si>
    <t>D1 · Pregunta guía: «¿Por qué las tarjetas de un teléfono usan cobre en las pistas, oro en los contactos y estaño con plata en las soldaduras?».</t>
  </si>
  <si>
    <t>Respeto al medio ambiente, entorno y territorio
Dispone las disoluciones usadas en el recipiente de residuos indicado por la docente y no las vierte al desagüe.</t>
  </si>
  <si>
    <t>Nuevo (planeador)
Planeador Química I · 1.6</t>
  </si>
  <si>
    <t>E1 · Compara en una tabla la conductividad eléctrica, la temperatura de fusión y la resistencia a la corrosión del cobre, el oro, el aluminio y la soldadura Sn-Ag-Cu.</t>
  </si>
  <si>
    <t>La medición en el laboratorio químico</t>
  </si>
  <si>
    <t>Notación científica
Órdenes de magnitud</t>
  </si>
  <si>
    <t>D4 · Interpreta datos de fichas técnicas para concluir qué propiedad determina la elección de cada metal o aleación en un circuito impreso.</t>
  </si>
  <si>
    <t>1.3. Uso de la notación científica y los órdenes de magnitud para expresar y operar cantidades químicas muy grandes o muy pequeñas.</t>
  </si>
  <si>
    <t>E3 · Predice qué problema aparecería si los contactos de un cargador se fabricaran de hierro y justifica su predicción con los datos comparados.</t>
  </si>
  <si>
    <t>E1 · Recuerda cantidades extremas vistas en 8.°, como el número de Avogadro, y la dificultad de escribirlas en forma decimal.</t>
  </si>
  <si>
    <t>E3 · Predice el orden de magnitud de la masa de una molécula de agua y de la masa de agua del lago de Ilopango antes de calcularlas.</t>
  </si>
  <si>
    <t>E2 · Transforma cantidades decimales a notación científica y opera productos, cocientes y potencias respetando las leyes de los exponentes.</t>
  </si>
  <si>
    <t>D4 · Interpreta una tabla de concentraciones de contaminantes en ppm y ppb expresándolas en notación científica para compararlas.</t>
  </si>
  <si>
    <t>E3 · Justifica en qué situaciones basta una estimación de orden de magnitud y en cuáles se necesita el valor exacto.</t>
  </si>
  <si>
    <t>Comunicación (Aproximar)
Explica a la clase, con una tarjeta electrónica en desuso como apoyo visual, la función de tres metales que se observan en ella.</t>
  </si>
  <si>
    <t>Pensamiento crítico (Explicar)
Verifica sus cálculos en notación científica comparando el orden de magnitud estimado con el resultado obtenido y corrige las discrepancias.</t>
  </si>
  <si>
    <t>Conocer: reconocer prefijos y órdenes de magnitud. Aplicar: operar en notación científica y estimar órdenes de magnitud</t>
  </si>
  <si>
    <t>Hoja de ejercicios resueltos en notación científica con estimación previa y verificación de cada resultado</t>
  </si>
  <si>
    <t>Conocer: identificar propiedades de metales y aleaciones de la industria electrónica. Aplicar: comparar datos tabulados</t>
  </si>
  <si>
    <t>1.7. Opera en notación científica con cantidades químicas y estima órdenes de magnitud de masas, volúmenes y números de partículas.</t>
  </si>
  <si>
    <r>
      <rPr>
        <rFont val="Arial"/>
        <color theme="1"/>
        <sz val="9.0"/>
      </rPr>
      <t>3.4 Pensamiento computacional y programación – Básico</t>
    </r>
    <r>
      <rPr>
        <rFont val="Arial"/>
        <color rgb="FF7030A0"/>
        <sz val="9.0"/>
      </rPr>
      <t xml:space="preserve">
Con la IA (DigComp 3.0, nivel real): CS1.2.10 – Intermedio: reconoce que la IA puede dar respuestas equivocadas que parecen ciertas y que quien la usa debe verificarlas.</t>
    </r>
  </si>
  <si>
    <t>Tabla comparativa de propiedades de cuatro metales y aleaciones de la industria electrónica con justificación de su uso</t>
  </si>
  <si>
    <t>INDAGACIÓN: Emplear sus propias adecuaciones tecnológicas o estrategias de experimentación vegetal para evidenciar procesos fisiológicos de las plantas o implementar técnicas agrícolas modernas para el establecimiento y mejora de cultivos.</t>
  </si>
  <si>
    <r>
      <rPr>
        <rFont val="Arial"/>
        <color theme="1"/>
        <sz val="9.0"/>
      </rPr>
      <t>Programar en una hoja de cálculo o en Python sencillo una función que convierta un número decimal a notación científica y compruebe el exponente.</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Resuelve primero 4 operaciones en notación científica: masa de un átomo de carbono por el número de Avogadro, moléculas en 250 mL de agua, distancia Tierra-Sol en nanómetros y caudal medio del Lempa en litros por año (busca el dato en el MARN). Luego pide a la IA que resuelva las mismas operaciones mostrando los pasos. Compara exponentes y órdenes de magnitud y encuentra el paso exacto donde alguien falló.
Evidencia: Tabla «Operación · Mi resultado · Respuesta de IA · Orden de magnitud · ✔/✘», con el paso donde está el error de quien se equivocó. Una línea en tu registro de uso de IA.
Refuerza con: MARN (https://www.marn.gob.sv)
→ PISA E3 · TIMSS Aplicar</t>
    </r>
  </si>
  <si>
    <t>Convivir
Comparte su algoritmo con un compañero, recibe sugerencias con apertura y reconoce el aporte de quien le ayudó a depurarlo.
↳ Se trabaja en la actividad digital (DigComp 3.4).</t>
  </si>
  <si>
    <t>Nuevo (planeador)
Planeador Química I · 1.8</t>
  </si>
  <si>
    <t>Exactitud
Precisión
Error absoluto y error relativo</t>
  </si>
  <si>
    <t>1.1. Identifica propiedades de los principales metales y aleaciones utilizadas en la industria electrónica.</t>
  </si>
  <si>
    <t>1.4. Comparación de la exactitud y la precisión de mediciones de volumen realizadas con distintos instrumentos de laboratorio.</t>
  </si>
  <si>
    <t>E1 · Recuerda cómo presentó en 9.° resultados experimentales con error de medida y lo aplica a la medición de volúmenes.</t>
  </si>
  <si>
    <t>D1 · Pregunta guía: «¿Qué instrumento mide con mayor exactitud 25 mL de agua: un vaso de precipitados, una probeta o una pipeta?».</t>
  </si>
  <si>
    <t>Los materiales tienen una composición y estructura diversa que les confiere propiedades distintivas, lo que repercute en su utilidad, durabilidad y formas de disposición final.</t>
  </si>
  <si>
    <t>E2 · Representa en un diagrama de diana los conceptos de exactitud y precisión con cuatro combinaciones posibles.</t>
  </si>
  <si>
    <t>D4 · Mide cinco veces 25 mL de agua con cada instrumento, pesa cada volumen, calcula el promedio, la desviación y el error relativo, y concluye.</t>
  </si>
  <si>
    <t>D3 · Evalúa si las diferencias entre instrumentos se deben a errores sistemáticos o aleatorios y propone cómo reducirlos.</t>
  </si>
  <si>
    <t>Comunicación (Indagar)
Comunica en un cartel los resultados de su equipo con gráfica de barras de error y una conclusión redactada con precisión técnica.</t>
  </si>
  <si>
    <t>Conocer: diferenciar exactitud y precisión. Aplicar: calcular el error relativo y la dispersión</t>
  </si>
  <si>
    <t>Tabla de mediciones con promedio, desviación estándar, error relativo y gráfica con barras de error</t>
  </si>
  <si>
    <t>1.8. Diferencia exactitud y precisión calculando el error relativo y la dispersión de series de mediciones de volumen.</t>
  </si>
  <si>
    <r>
      <rPr>
        <rFont val="Arial"/>
        <color theme="1"/>
        <sz val="9.0"/>
      </rPr>
      <t>1.3 Gestión de la información – Básico</t>
    </r>
    <r>
      <rPr>
        <rFont val="Arial"/>
        <color rgb="FF7030A0"/>
        <sz val="9.0"/>
      </rPr>
      <t xml:space="preserve">
Con la IA (DigComp 3.0, nivel real): CS1.2.13 – Intermedio: valora qué tan confiable es una fuente, teniendo en cuenta el papel de la IA.</t>
    </r>
  </si>
  <si>
    <r>
      <rPr>
        <rFont val="Arial"/>
        <color theme="1"/>
        <sz val="9.0"/>
      </rPr>
      <t>Organizar las mediciones de todos los equipos en una hoja de cálculo compartida y calcular automáticamente promedio, desviación y error relativo.</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Mide 5 veces 20 mL de agua con una jeringa y 5 veces con una cuchara, pesando cada medida en una balanza de cocina (1 mL de agua equivale a casi 1 g). Calcula la media, el error absoluto y el relativo. Luego pregúntale al cuaderno de NotebookLM: «¿Cómo se distinguen la exactitud y la precisión?» y clasifica tus dos instrumentos con esa definición. Revisa la cita y escribe si la definición se ajusta a tus datos.
Evidencia: Tabla de 10 mediciones con media, error absoluto y relativo; diana dibujada para cada instrumento; «Respuesta de IA» rotulada con su cita y tu decisión ✔/✘. Una línea en tu registro de uso de IA.
→ PISA D4 · TIMSS Razonar</t>
    </r>
  </si>
  <si>
    <t>Uso ético de la información
Registra los datos tal como los midió, sin ajustarlos para que coincidan con el valor esperado.</t>
  </si>
  <si>
    <t>Nuevo (planeador)
Planeador Química I · 1.9</t>
  </si>
  <si>
    <r>
      <rPr>
        <rFont val="Arial"/>
        <color theme="1"/>
        <sz val="9.0"/>
      </rPr>
      <t>1.1 Navegación, búsqueda y filtrado de información – Básico</t>
    </r>
    <r>
      <rPr>
        <rFont val="Arial"/>
        <color rgb="FF7030A0"/>
        <sz val="9.0"/>
      </rPr>
      <t xml:space="preserve">
Con la IA (DigComp 3.0, nivel real): CS1.2.13 – Intermedio: valora qué tan confiable es una fuente, teniendo en cuenta el papel de la IA.</t>
    </r>
  </si>
  <si>
    <t>Análisis del problema
Plan de resolución y factores de conversión
Verificación del resultado</t>
  </si>
  <si>
    <t>1.5. Aplicación de una técnica sistemática para resolver problemas químicos cuantitativos.</t>
  </si>
  <si>
    <t>E1 · Recuerda los pasos que siguió en 8.° para resolver problemas de concentración y reconoce dónde cometía errores con más frecuencia.</t>
  </si>
  <si>
    <t>D1 · Pregunta guía: «¿Cómo sé si el resultado de un problema químico es razonable antes de entregarlo?».</t>
  </si>
  <si>
    <t>E2 · Transforma el enunciado de un problema en un esquema de datos, incógnita, relaciones y factores de conversión.</t>
  </si>
  <si>
    <t>I3 · Argumenta con el análisis de unidades y del orden de magnitud por qué una solución propuesta es correcta o incorrecta.</t>
  </si>
  <si>
    <t>I4 · Identifica errores de razonamiento en soluciones resueltas incorrectamente y explica cómo corregirlos.</t>
  </si>
  <si>
    <t>Colaboración (Reforzar)
Resuelve en pareja problemas con la técnica de «uno explica y otro verifica», alternando los papeles en cada problema.</t>
  </si>
  <si>
    <t>Aplicar: planificar y calcular. Razonar: verificar la razonabilidad del resultado</t>
  </si>
  <si>
    <r>
      <rPr>
        <rFont val="Arial"/>
        <color theme="1"/>
        <sz val="9.0"/>
      </rPr>
      <t>Buscar en PubChem y en fichas técnicas de fabricantes la conductividad y la temperatura de fusión de cada metal, filtrando fuentes técnicas confiables.</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Con tu tabla de conductividad, temperatura de fusión y corrosión del cobre, el oro, el estaño y la plata ya completa, abre el cuaderno de la unidad en NotebookLM y pregúntale: «¿Por qué los contactos de un cargador llevan oro y las soldaduras una aleación de estaño y plata?». Revisa qué fuente cita en cada afirmación y compárala con tus datos. Subraya lo que no tenga fuente.
Evidencia: Ficha «Yo pienso · La IA dice · Lo comprobé»: en «Yo pienso», tu explicación con los datos de tu tabla; en «La IA dice», su respuesta rotulada «Respuesta de IA» con la fuente citada; en «Lo comprobé», el dato de la ficha técnica que la confirma o la contradice. Marca ✔ o ✘ y anota una línea en el registro de uso de IA.
→ PISA E3 · TIMSS Aplicar</t>
    </r>
  </si>
  <si>
    <t>Portafolio de cinco problemas resueltos con esquema de análisis, cálculo y verificación escrita</t>
  </si>
  <si>
    <t>1.10. Resuelve problemas químicos cuantitativos siguiendo una estrategia de análisis, planificación, cálculo y verificación de la razonabilidad del resultado.</t>
  </si>
  <si>
    <r>
      <rPr>
        <rFont val="Arial"/>
        <color theme="1"/>
        <sz val="9.0"/>
      </rPr>
      <t>5.4 Identificación y atención de necesidades de competencia digital – Básico</t>
    </r>
    <r>
      <rPr>
        <rFont val="Arial"/>
        <color rgb="FF7030A0"/>
        <sz val="9.0"/>
      </rPr>
      <t xml:space="preserve">
Con la IA (DigComp 3.0, nivel real): CS1.2.10 – Intermedio: reconoce que la IA puede dar respuestas equivocadas que parecen ciertas y que quien la usa debe verificarlas.</t>
    </r>
  </si>
  <si>
    <t>Uso ético de la información
Registra la referencia completa de cada ficha técnica consultada y distingue los datos citados de sus propias conclusiones.
↳ Se trabaja en la actividad digital (DigComp 1.1).</t>
  </si>
  <si>
    <t>Las unidades de medida, su definición, simbología, prefijos y las reglas de escritura, así como el manejo de cifras a emplear, son las estandarizadas por el SI,^1 de acuerdo con el RTS 01.02.01:18 o su actualización. ^2
En los valores numéricos se empleará el punto como separador decimal. Los números con muchas cifras se repartirán en grupos de tres cifras, separadas por un espacio. No se emplearán comas.</t>
  </si>
  <si>
    <r>
      <rPr>
        <rFont val="Arial"/>
        <color theme="1"/>
        <sz val="9.0"/>
      </rPr>
      <t>Identificar qué herramienta digital le falta dominar para resolver problemas, como el editor de ecuaciones, y practicarla con un tutorial.</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Mide con un balde cuánta agua usa tu casa en un día para una tarea (lavar trastes, por ejemplo) y calcula cuántos metros cúbicos serían en un mes, como en el recibo de ANDA. Usa el método análisis, plan con factores de conversión, cálculo y verificación. Después pide a la IA que resuelva el mismo problema con tus datos. Marca el primer paso donde difieran y decide con análisis dimensional quién tiene razón.
Evidencia: Problema resuelto con las cuatro etapas; al lado la «Respuesta de IA» con los factores subrayados y ✔/✘ en cada uno según el análisis dimensional. Una línea en tu registro de uso de IA.
Refuerza con: ANDA (https://www.anda.gob.sv)
→ PISA I4 · TIMSS Aplicar</t>
    </r>
  </si>
  <si>
    <t>Convivir
Ofrece ayuda respetuosa a su pareja cuando detecta un error y acepta las correcciones sin descalificar.</t>
  </si>
  <si>
    <t>Nuevo (planeador)
Planeador Química I · 1.11</t>
  </si>
  <si>
    <t>La materia y sus propiedades</t>
  </si>
  <si>
    <t>Sistemas materiales
Estados de agregación
Modelo cinético-molecular</t>
  </si>
  <si>
    <t>1.6. Interpretación de los estados de la materia y de los sistemas materiales mediante el modelo cinético-molecular.</t>
  </si>
  <si>
    <t>Oficial
Malla 11.° grado, U7 · 7.1</t>
  </si>
  <si>
    <t>E1 · Observa la condensación del vapor en una olla tapada y la evaporación de un charco, y describe qué le ocurre a la materia en cada caso.</t>
  </si>
  <si>
    <t>E5 · Propone una hipótesis sobre el movimiento de las partículas que explique por qué los gases llenan todo el recipiente.</t>
  </si>
  <si>
    <t>E4 · Utiliza el modelo cinético-molecular para representar la disposición y el movimiento de las partículas en los tres estados.</t>
  </si>
  <si>
    <t>E4 · Clasifica sistemas del entorno, como un termo, una olla abierta y una laguna, en abiertos, cerrados o aislados según el intercambio de materia y energía.</t>
  </si>
  <si>
    <t>E3 · Predice cómo cambiaría el comportamiento de un gas encerrado al aumentar la temperatura y lo justifica con el modelo.</t>
  </si>
  <si>
    <t>Creatividad (Aproximar)
Crea una representación dinámica con los compañeros de clase como partículas para dramatizar los tres estados de la materia.</t>
  </si>
  <si>
    <t>Conocer: describir estados de la materia. Razonar: explicar con el modelo cinético-molecular</t>
  </si>
  <si>
    <t>Diagramas de partículas de los tres estados y clasificación argumentada de cinco sistemas materiales</t>
  </si>
  <si>
    <t>1.11. Explica con el modelo cinético-molecular el comportamiento de sólidos, líquidos y gases en sistemas materiales abiertos, cerrados y aislados.</t>
  </si>
  <si>
    <r>
      <rPr>
        <rFont val="Arial"/>
        <color theme="1"/>
        <sz val="9.0"/>
      </rPr>
      <t>5.3 Identificación de soluciones creativas con tecnologías digitales – Básico</t>
    </r>
    <r>
      <rPr>
        <rFont val="Arial"/>
        <color rgb="FF7030A0"/>
        <sz val="9.0"/>
      </rPr>
      <t xml:space="preserve">
Con la IA (DigComp 3.0, nivel real): CS1.2.13 – Intermedio: valora qué tan confiable es una fuente, teniendo en cuenta el papel de la IA.</t>
    </r>
  </si>
  <si>
    <r>
      <rPr>
        <rFont val="Arial"/>
        <color theme="1"/>
        <sz val="9.0"/>
      </rPr>
      <t>Usar un simulador de estados de la materia para variar la temperatura y observar el cambio en el movimiento de las partículas.</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Dibuja con partículas el agua como hielo, líquida y vapor, y un charco que se seca al sol en la época seca. Explora el simulador «Estados de la materia» y anota qué pasa con la rapidez de las partículas al calentar. Luego pregúntale al cuaderno de NotebookLM: «¿Qué postulados del modelo cinético-molecular explican los cambios de estado?» y verifica si cada postulado se ve en el simulador.
Evidencia: Ficha «Yo pienso · La IA dice · Lo comprobé»: tus dibujos de partículas; los postulados de la «Respuesta de IA» con su cita; en «Lo comprobé», lo que viste en el simulador con ✔/✘. Una línea en tu registro de uso de IA.
Refuerza con: PhET «Estados de la materia: Intro» (https://phet.colorado.edu/sims/html/states-of-matter-basics/latest/states-of-matter-basics_es.html)
→ PISA E3 · TIMSS Aplicar</t>
    </r>
  </si>
  <si>
    <t>Respeto al medio ambiente, entorno y territorio
Relaciona la evaporación y la condensación con el ciclo del agua en las cuencas salvadoreñas y su cuidado.</t>
  </si>
  <si>
    <t>Nuevo (planeador)
Planeador Química I · 2.1</t>
  </si>
  <si>
    <t>Propiedades generales y específicas
Propiedades extensivas e intensivas
Densidad</t>
  </si>
  <si>
    <t>1.7. Determinación experimental de la densidad de sólidos y líquidos como propiedad intensiva para identificar sustancias.</t>
  </si>
  <si>
    <t>E1 · Recuerda por qué el aceite flota en el agua y por qué una piedra pómez de origen volcánico puede flotar.</t>
  </si>
  <si>
    <t>D1 · Pregunta guía: «¿Es posible identificar el metal de una pieza desconocida midiendo solo su masa y su volumen?».</t>
  </si>
  <si>
    <t>E1 · Clasifica propiedades de la materia en generales o específicas, extensivas o intensivas, y físicas o químicas.</t>
  </si>
  <si>
    <t>D4 · Mide la masa y el volumen por desplazamiento de agua de piezas metálicas, calcula su densidad y la compara con valores de tablas.</t>
  </si>
  <si>
    <t>D3 · Evalúa qué parte del procedimiento aporta más incertidumbre a la densidad y cómo se podría reducir.</t>
  </si>
  <si>
    <t>Pensamiento crítico (Indagar)
Decide con base en el error relativo si la pieza medida corresponde al metal propuesto o si la diferencia supera la incertidumbre.</t>
  </si>
  <si>
    <t>Conocer: definir la densidad como propiedad intensiva. Aplicar: medir la densidad y compararla con valores tabulados</t>
  </si>
  <si>
    <t>Informe con tabla de masas, volúmenes y densidades, error relativo e identificación justificada del material</t>
  </si>
  <si>
    <t>Aplicaciones de los metales y las aleaciones en la construcción, el transporte y la industria
 Aplicaciones de los cerámicos tradicionales y avanzados</t>
  </si>
  <si>
    <t>1.12. Determina experimentalmente la densidad de sólidos y líquidos y la utiliza como propiedad intensiva para identificar sustancias.</t>
  </si>
  <si>
    <t>1.2. Análisis de las aplicaciones de los metales y los cerámicos en la construcción, la industria y la vida cotidiana a partir de la relación entre su estructura y sus propiedades.</t>
  </si>
  <si>
    <r>
      <rPr>
        <rFont val="Arial"/>
        <color theme="1"/>
        <sz val="9.0"/>
      </rPr>
      <t>2.2 Compartir a través de tecnologías digitales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</si>
  <si>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Compartir la tabla de densidades del equipo en el aula virtual con la referencia de la tabla de valores usada para comparar.</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Mide la masa con balanza de cocina y el volumen por desplazamiento de agua en una jeringa o vaso graduado de 4 objetos: piedra pómez volcánica, canica, tornillo y trozo de vela. Calcula su densidad. Luego pregúntale a la IA: «¿Cuál es la densidad típica de la piedra pómez, el vidrio, el acero y la parafina?». Compara con tus valores, calcula el error relativo y explica por qué la pómez puede flotar. La IA no conoce tus objetos.
Evidencia: Tabla «Objeto · masa · volumen · densidad medida · Respuesta de IA · error relativo», con una línea sobre la causa probable de cada diferencia. Una línea en tu registro de uso de IA.
Refuerza con: PhET «Densidad» (https://phet.colorado.edu/sims/html/density/latest/density_es.html)
→ PISA D4 · TIMSS Razonar</t>
    </r>
  </si>
  <si>
    <t>Uso ético de la información
Cita la fuente de los valores de densidad de referencia y no altera los datos para acercarlos al valor de la tabla.
↳ Se trabaja en la actividad digital (DigComp 2.2).</t>
  </si>
  <si>
    <t>E1 · Recuerda del tema anterior las propiedades de los metales y reconoce en su casa y en la escuela objetos de hierro, aluminio, cobre, barro cocido, porcelana y vidrio.</t>
  </si>
  <si>
    <t>Nuevo (planeador)
Planeador Química I · 2.2</t>
  </si>
  <si>
    <t>Sustancias puras: elementos y compuestos
Mezclas homogéneas y heterogéneas
Coloides y emulsiones</t>
  </si>
  <si>
    <t>D1 · Pregunta guía: «¿Por qué las ollas son de aluminio, el comal tradicional de barro y el aislante de la bujía de un motor de cerámica?».</t>
  </si>
  <si>
    <t>1.8. Clasificación de muestras de materia en sustancias puras, mezclas homogéneas, mezclas heterogéneas, coloides y emulsiones.</t>
  </si>
  <si>
    <t>E2 · Clasifica en un organizador gráfico metales, aleaciones y cerámicos tradicionales (barro, porcelana, cemento) y avanzados (alúmina, carburo de silicio) según la propiedad que justifica cada aplicación.</t>
  </si>
  <si>
    <t>E1 · Recuerda las dispersiones estudiadas en 8.° y las relaciona con productos como la leche, la mayonesa y el agua de mar.</t>
  </si>
  <si>
    <t>E5 · Formula una hipótesis sobre por qué un rayo de luz se ve al atravesar la leche diluida y no al atravesar agua con sal.</t>
  </si>
  <si>
    <t>D4 · Somete un clavo de hierro, una lámina de aluminio, un trozo de teja y un azulejo a pruebas sencillas de dureza por rayado, maleabilidad y conductividad eléctrica con un circuito de pila, registra los resultados y relaciona cada propiedad con un uso.</t>
  </si>
  <si>
    <t>E2 · Construye un organizador gráfico que clasifica la materia en sustancias puras y mezclas, con subdivisiones y ejemplos.</t>
  </si>
  <si>
    <t>D4 · Observa el efecto Tyndall con un puntero láser de baja potencia en varias muestras y concluye cuáles son coloides.</t>
  </si>
  <si>
    <t>E3 · Predice qué material conviene para una tubería, el aislante de un horno artesanal y el techo de una vivienda en la zona costera, y justifica su elección con las propiedades medidas.</t>
  </si>
  <si>
    <t>E3 · Predice la clasificación de una muestra nueva a partir de sus propiedades observadas y justifica su respuesta.</t>
  </si>
  <si>
    <t>Comunicación (Explorar)
Explica oralmente al grupo su hipótesis sobre el efecto Tyndall usando los términos partícula dispersa y medio dispersante.</t>
  </si>
  <si>
    <t>Conocer: diferenciar sustancias y mezclas. Aplicar: clasificar muestras. Razonar: justificar</t>
  </si>
  <si>
    <t>Organizador gráfico de la clasificación de la materia y tabla de observaciones del efecto Tyndall</t>
  </si>
  <si>
    <t>1.13. Clasifica muestras de materia según su composición y justifica la clasificación con criterios observables como el efecto Tyndall.</t>
  </si>
  <si>
    <t>Creatividad (Reforzar)
 Propone una combinación original de metales y cerámicos para un objeto cotidiano, como un comal o una cocina mejorada de leña, y la fundamenta con las propiedades medidas.</t>
  </si>
  <si>
    <r>
      <rPr>
        <rFont val="Arial"/>
        <color theme="1"/>
        <sz val="9.0"/>
      </rPr>
      <t>2.6 Gestión de la identidad digital – Básico</t>
    </r>
    <r>
      <rPr>
        <rFont val="Arial"/>
        <color rgb="FF7030A0"/>
        <sz val="9.0"/>
      </rPr>
      <t xml:space="preserve">
Con la IA (DigComp 3.0, nivel real): CS1.2.08 – Intermedio: reconoce que los datos con que se entrena una IA influyen en qué tan confiable es.</t>
    </r>
  </si>
  <si>
    <t>Conocer: identificar aplicaciones de metales y cerámicos. Aplicar: relacionar propiedades medidas con usos</t>
  </si>
  <si>
    <t>Organizador gráfico de aplicaciones de metales y cerámicos con los resultados de las pruebas de rayado, maleabilidad y conductividad que justifican cada uso</t>
  </si>
  <si>
    <r>
      <rPr>
        <rFont val="Arial"/>
        <color theme="1"/>
        <sz val="9.0"/>
      </rPr>
      <t>Publicar las fotografías de la actividad en el aula virtual con su perfil escolar, cuidando qué datos personales muestra su identidad digital.</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Fotografía, sin personas, 10 muestras en vasos transparentes: agua sola, agua con sal, agua con arena, leche, horchata, agua con aceite, refresco, gelatina, jugo con pulpa y azúcar. Clasifícalas tú primero: sustancia pura, mezcla homogénea, heterogénea o coloide. Entrena Teachable Machine con fotos de 3 clases y pruébalo con muestras nuevas. Analiza sus errores: ¿puede una cámara distinguir una disolución de un coloide?
Evidencia: Tabla «Muestra · Mi clasificación · Modelo (hecho con IA) · ✔/✘» y un párrafo sobre qué propiedades no ve la cámara (tamaño de partícula, efecto Tyndall). Una línea en tu registro de uso de IA.
→ PISA D4 · TIMSS Razonar</t>
    </r>
  </si>
  <si>
    <t>Convivir
Usa el puntero láser con responsabilidad, sin dirigirlo nunca a los ojos de los compañeros.</t>
  </si>
  <si>
    <t>Nuevo (planeador)
Planeador Química I · 2.3</t>
  </si>
  <si>
    <t>1.2. Relaciona las propiedades de los metales y los cerámicos con sus aplicaciones en la construcción, la industria y la vida cotidiana.</t>
  </si>
  <si>
    <t>Métodos físicos de separación
Destilación y cristalización
Cromatografía</t>
  </si>
  <si>
    <t>1.9. Selección y aplicación de métodos de separación de mezclas según las propiedades de sus componentes.</t>
  </si>
  <si>
    <t>3.1 Desarrollo de contenidos digitales – Básico</t>
  </si>
  <si>
    <t>E6 · Relaciona los métodos de separación con procesos del país, como la obtención de sal en las salineras costeras y el refinado del azúcar.</t>
  </si>
  <si>
    <t>D1 · Pregunta guía: «¿Qué propiedad de cada componente permite separar una mezcla de arena, sal y limaduras de hierro?».</t>
  </si>
  <si>
    <t>E1 · Relaciona cada método de separación, como la filtración, la decantación, la destilación, la cristalización y la cromatografía, con la propiedad en que se basa.</t>
  </si>
  <si>
    <t>D2 · Diseña una secuencia de separación para una mezcla heterogénea y realiza una cromatografía en papel de tintas; la destilación la demuestra la docente.</t>
  </si>
  <si>
    <t>I5 · Justifica qué método de separación usaría una planta potabilizadora para cada contaminante del agua de un río.</t>
  </si>
  <si>
    <t>Colaboración (Indagar)
Planifica con su equipo la secuencia de separación asignando tareas y acuerda el orden de los pasos antes de ejecutarlos.</t>
  </si>
  <si>
    <t>Aplicar: seleccionar y ejecutar métodos de separación. Razonar: justificar con propiedades</t>
  </si>
  <si>
    <t>Diagrama de separación de una mezcla, cromatograma rotulado y cálculo del factor de retención</t>
  </si>
  <si>
    <t>1.14. Selecciona y aplica el método de separación adecuado para una mezcla, y calcula el factor de retención en una cromatografía en papel.</t>
  </si>
  <si>
    <t>Elaborar un organizador gráfico digital con fotografías propias de objetos metálicos y cerámicos del entorno escolar, rotulando el material y la propiedad que justifica cada uso.</t>
  </si>
  <si>
    <r>
      <rPr>
        <rFont val="Arial"/>
        <color theme="1"/>
        <sz val="9.0"/>
      </rPr>
      <t>4.4 Protección del medio ambiente – Básico</t>
    </r>
    <r>
      <rPr>
        <rFont val="Arial"/>
        <color rgb="FF7030A0"/>
        <sz val="9.0"/>
      </rPr>
      <t xml:space="preserve">
DigComp 3.0 cambió el nombre de la 4.4: «Impacto ambiental de las tecnologías digitales» (Environmental impacts of digital technologies).
Con la IA (DigComp 3.0, nivel real): CS1.2.13 – Intermedio: valora qué tan confiable es una fuente, teniendo en cuenta el papel de la IA.</t>
    </r>
  </si>
  <si>
    <t>Respeto al medio ambiente, entorno y territorio
 Entrega los objetos metálicos en desuso a puntos de acopio, reutiliza los cerámicos rotos y valora la alfarería salvadoreña como uso sostenible de un recurso local.</t>
  </si>
  <si>
    <r>
      <rPr>
        <rFont val="Arial"/>
        <color theme="1"/>
        <sz val="9.0"/>
      </rPr>
      <t>Investigar cómo se separan los componentes de los aparatos electrónicos en desuso para recuperar metales y proponer su disposición responsable.</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Haz una cromatografía con tiras de filtro de café, plumones negros de dos marcas y agua, y cristaliza sal dejando agua salada al sol varios días. Escribe en qué propiedad se basa cada separación. Después pregúntale al cuaderno de NotebookLM: «¿En qué propiedades se basan la cromatografía, la cristalización y la destilación?». Compara con tu explicación; la destilación no la haces en casa porque necesita calentar.
Evidencia: Tiras de cromatografía pegadas con tu explicación; «Respuesta de IA» rotulada con su cita y ✔/✘ comparada con lo que observaste. Una línea en tu registro de uso de IA.
→ PISA D2 · TIMSS Razonar</t>
    </r>
  </si>
  <si>
    <t>Respeto al medio ambiente, entorno y territorio
Recoge los residuos de la separación en los recipientes indicados y no vierte los sólidos ni las tintas al desagüe ni al suelo.
↳ Se trabaja en la actividad digital (DigComp 4.4).</t>
  </si>
  <si>
    <t>Nuevo (planeador)
Planeador Química I · 2.4</t>
  </si>
  <si>
    <t>U2 - Eje integrador: interacciones</t>
  </si>
  <si>
    <t>2. Las cantidades en química</t>
  </si>
  <si>
    <t>Leyes de la combinación química y cantidad de sustancia</t>
  </si>
  <si>
    <t>Polímeros y materiales compuestos</t>
  </si>
  <si>
    <t>Ley de conservación de la masa (Lavoisier)
 Ley de las proporciones definidas (Proust)
 Ley de las proporciones múltiples (Dalton)
 Masa atómica y unidad de masa atómica
 Mol y constante de Avogadro
 Relación masa–moles–partículas</t>
  </si>
  <si>
    <t>Clasificación de los polímeros</t>
  </si>
  <si>
    <t>2.1. Comprobación experimental de la ley de conservación de la masa, análisis de datos de las leyes de las proporciones definidas y múltiples, y resolución de problemas que relacionan masa, cantidad de sustancia y número de partículas en muestras reales.</t>
  </si>
  <si>
    <t>Deduce la fórmula empírica y molecular de un compuesto a partir de su composición centesimal o de los datos de su análisis elemental. Explica con las leyes ponderales y volumétricas, la teoría atómica de Dalton y la hipótesis de Avogadro las proporciones fijas en que se combinan los elementos.</t>
  </si>
  <si>
    <t>1.3. Reconocimiento de la diversidad de polímeros sintéticos en el entorno.</t>
  </si>
  <si>
    <t>Precisión y perseverancia en la resolución de cálculos químicos. Valoración del trabajo histórico de los científicos que establecieron las leyes de la química a partir de mediciones cuidadosas.</t>
  </si>
  <si>
    <t>E1 · Reconoce en envases, bolsas, tuberías y textiles del hogar la presencia de polímeros sintéticos de uso cotidiano.</t>
  </si>
  <si>
    <t>E1 · Recuerda lo visto en 7.° sobre el balanceo de ecuaciones y en 8.° sobre moles y masa molar, y se pregunta qué ley natural obliga a que los átomos se conserven y cómo se pueden contar pesando.</t>
  </si>
  <si>
    <t>E3 · Predice qué envases del aula serán termoplásticos y cuáles termoestables a partir de cómo fueron moldeados y de su rigidez.</t>
  </si>
  <si>
    <t>D1 · Pregunta guía: «¿Por qué parece que se pierde masa cuando el vinagre reacciona con bicarbonato en un recipiente abierto, y cuántas moléculas de gas escapan?».</t>
  </si>
  <si>
    <t>E2 · Transforma datos de masas de reactivos y productos en razones de masa para comprobar las leyes de Proust y de Dalton, y en moles y número de partículas mediante factores de conversión encadenados.</t>
  </si>
  <si>
    <t>E2 · Clasifica polímeros sintéticos según su origen, su comportamiento térmico y su código de identificación de resina del 1 al 7.</t>
  </si>
  <si>
    <t>D4 · Mide la masa de un sistema cerrado con vinagre y bicarbonato separados por un globo, antes y después de la reacción, concluye sobre la conservación de la masa y calcula los moles y el número de moléculas de CO₂ producidas.</t>
  </si>
  <si>
    <t>E3 · Justifica por qué el SI define el mol como un número fijo de entidades elementales y no como una masa, y predice si hay más átomos en 10 g de sal o en 10 g de azúcar antes de comprobarlo con el cálculo.</t>
  </si>
  <si>
    <t>D4 · Organiza en una tabla los envases recolectados según su código de resina y concluye qué plásticos son los más frecuentes en el entorno escolar.</t>
  </si>
  <si>
    <t>E6 · Explica cómo el código de resina facilita la separación de plásticos en los centros de acopio municipales de El Salvador.</t>
  </si>
  <si>
    <t>Pensamiento crítico (Indagar)
 Analiza la diferencia entre las masas inicial y final, decide si es atribuible al error de la balanza o a una fuga de gas y estima cuántos moles de CO₂ representa esa diferencia.</t>
  </si>
  <si>
    <t>Creatividad (Explicar)
Diseña un sistema visual original para señalizar los contenedores de reciclaje de la escuela según el tipo de polímero.</t>
  </si>
  <si>
    <t>Conocer: reconocer tipos de polímeros sintéticos de uso común</t>
  </si>
  <si>
    <t>Conocer: definir mol, masa molar y número de Avogadro. Aplicar: calcular razones de masa y convertir entre masa, moles y partículas. Razonar: interpretar datos para comprobar una ley</t>
  </si>
  <si>
    <t>Informe de laboratorio con masas antes y después de la reacción, tabla de razones de masa de compuestos y cálculo de moles y número de moléculas del gas producido, con cifras significativas</t>
  </si>
  <si>
    <t>Inventario clasificado de envases del entorno escolar por código de resina con gráfica de frecuencias</t>
  </si>
  <si>
    <t>INDAGACIÓN: Contrastar datos experimentales de masa y volumen de sustancias que reaccionan con las leyes ponderales y volumétricas, para deducir la composición y la fórmula de los compuestos a partir de la cantidad de sustancia.</t>
  </si>
  <si>
    <t>1.4. Reconoce distintos tipos de polímeros sintéticos de uso común.</t>
  </si>
  <si>
    <t>2.1. Comprueba la conservación de la masa en un sistema cerrado, aplica las leyes de las proporciones definidas y múltiples a datos de composición de compuestos y resuelve problemas encadenados de masa, moles, número de moléculas y número de átomos.</t>
  </si>
  <si>
    <r>
      <rPr>
        <rFont val="Arial"/>
        <color theme="1"/>
        <sz val="9.0"/>
      </rPr>
      <t>4.4 Protección del medio ambiente – Básico</t>
    </r>
    <r>
      <rPr>
        <rFont val="Arial"/>
        <color rgb="FF7030A0"/>
        <sz val="9.0"/>
      </rPr>
      <t xml:space="preserve">
DigComp 3.0 cambió el nombre de la 4.4: «Impacto ambiental de las tecnologías digitales» (Environmental impacts of digital technologies).
Con la IA (DigComp 3.0, nivel real): CS1.2.08 – Intermedio: reconoce que los datos con que se entrena una IA influyen en qué tan confiable es.</t>
    </r>
  </si>
  <si>
    <t>Los elementos se combinan en proporciones de masa y de volumen fijas porque la materia está formada por átomos que se unen en números enteros. La cantidad de sustancia, medida en moles, permite pasar de la masa que se pesa en una balanza al número de partículas y es la base del control de calidad de alimentos, medicamentos y fertilizantes.</t>
  </si>
  <si>
    <r>
      <rPr>
        <rFont val="Arial"/>
        <color theme="1"/>
        <sz val="9.0"/>
      </rPr>
      <t>Investigar cómo se separan y reciclan los plásticos de carcasas de aparatos electrónicos y proponer su disposición responsable.</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Reúne envases limpios de tu casa y anota el número del código de resina (1 PET, 2 PEAD, 5 PP, 6 PS). Antes, escribe qué tipo de polímero crees que es cada uno por su aspecto. Entrena en Teachable Machine un modelo de imágenes con 3 clases (PET, PEAD, PP) y 20 fotos por clase. Pruébalo con envases nuevos y anota sus aciertos y errores. ¿El modelo reconoce el polímero o solo el color y la forma?
Evidencia: Tabla «Envase · Código real · Mi predicción · Lo que dijo el modelo (hecho con IA) · ¿Acertó?», con el porcentaje de aciertos y una frase sobre qué aprendió de verdad el modelo. Anota una línea en el registro de uso de IA.
→ PISA D4 · TIMSS Razonar</t>
    </r>
  </si>
  <si>
    <r>
      <rPr>
        <rFont val="Arial"/>
        <color rgb="FF000000"/>
        <sz val="9.0"/>
      </rPr>
      <t>1.3 Gestión de la información – Básico</t>
    </r>
    <r>
      <rPr>
        <rFont val="Arial"/>
        <color rgb="FF7030A0"/>
        <sz val="9.0"/>
      </rPr>
      <t xml:space="preserve">
Con la IA (DigComp 3.0, nivel real): CS1.2.10 – Intermedio: reconoce que la IA puede dar respuestas equivocadas que parecen ciertas y que quien la usa debe verificarlas.</t>
    </r>
  </si>
  <si>
    <t>Respeto al medio ambiente, entorno y territorio
Separa limpios los envases recolectados según su código de resina y los entrega a un punto de acopio en lugar de desecharlos.
↳ Se trabaja en la actividad digital (DigComp 4.4).</t>
  </si>
  <si>
    <t>Oficial
Malla 11.° grado, U7 · 7.4</t>
  </si>
  <si>
    <r>
      <rPr>
        <rFont val="Arial"/>
        <color rgb="FF000000"/>
        <sz val="9.0"/>
      </rPr>
      <t>Registrar en una hoja de cálculo compartida las masas de todos los equipos, calcular la diferencia promedio, su dispersión y los moles de CO₂ correspondientes, y revisar en conjunto los resultados discrepantes.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Predice tú si la masa cambiará. Pon bicarbonato dentro de un globo y vinagre en una botella de plástico; coloca el globo en la boca, pesa todo en balanza de cocina, voltea el globo para que caiga el bicarbonato, espera y vuelve a pesar. Repite con la botella abierta. Luego pide a la IA que explique por qué la masa cambia en un caso y no en el otro, y revisa si su explicación coincide con tus datos y con la ley de Lavoisier.
Evidencia: Ficha «Yo pienso · La IA dice · Lo comprobé»: tu predicción; tabla de masas antes y después (cerrado y abierto); la «Respuesta de IA» con ✔/✘ comparada con tus masas. Una línea en tu registro de uso de IA.
Refuerza con: PhET «Balanceo de ecuaciones químicas» (https://phet.colorado.edu/sims/html/balancing-chemical-equations/latest/balancing-chemical-equations_es.html)
→ PISA D4 · TIMSS Razonar</t>
    </r>
  </si>
  <si>
    <t>Respeto al medio ambiente, entorno y territorio
 Neutraliza y dispone la mezcla de vinagre y bicarbonato según las indicaciones de la docente y reutiliza los globos y recipientes.</t>
  </si>
  <si>
    <t>Nanomateriales</t>
  </si>
  <si>
    <t>Escala</t>
  </si>
  <si>
    <t>1.4. Elaboración de una escala comparativa del tamaño de partícula y estructura de los nanomateriales.</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</si>
  <si>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n: cantidad de sustancia, en moles, mol. m: masa, en gramos, g. M: masa molar, en gramos por mol, g/mol. N: número de partículas, adimensional. Nᴀ: constante de Avogadro, 6.022 × 10²³ mol⁻¹. Aᵣ: masa atómica relativa, adimensional. Mᵣ: masa molecular relativa, adimensional. u: unidad de masa atómica unificada. V: volumen de un gas, en litros, L. %: composición centesimal en masa. Las fórmulas empíricas y moleculares se escriben con subíndices enteros y los elementos en el orden establecido por la IUPAC (en compuestos orgánicos, C, H y luego los demás en orden alfabético).</t>
  </si>
  <si>
    <t xml:space="preserve">Nuevo (planeador)
Planeador Química I · 3.1 </t>
  </si>
  <si>
    <t>E1 · Recuerda las unidades de longitud del SI y ubica el nanómetro como la milmillonésima parte de un metro.</t>
  </si>
  <si>
    <t>La cantidad de sustancia</t>
  </si>
  <si>
    <t>E3 · Predice qué ocurre con la relación superficie-volumen de un cubo cuando se divide repetidamente en cubos más pequeños.</t>
  </si>
  <si>
    <t>Composición centesimal
Fórmula empírica
Fórmula molecular</t>
  </si>
  <si>
    <t>E2 · Elabora una escala logarítmica que ubique un grano de café, un cabello, una bacteria, un virus, una nanopartícula de plata y un átomo.</t>
  </si>
  <si>
    <t>2.2. Cálculo de la composición centesimal, la fórmula empírica y la fórmula molecular de compuestos a partir de datos experimentales.</t>
  </si>
  <si>
    <t>E4 · Explica con el modelo de relación superficie-volumen por qué los nanomateriales presentan propiedades distintas a las del mismo material a escala macroscópica.</t>
  </si>
  <si>
    <t>E1 · Observa la etiqueta de un fertilizante con su porcentaje de nitrógeno, fósforo y potasio y recuerda el concepto de porcentaje en masa de 8.°.</t>
  </si>
  <si>
    <t>E3 · Justifica si un material es nanomaterial a partir del tamaño de sus partículas o estructuras, usando el criterio de 1 a 100 nm.</t>
  </si>
  <si>
    <t>E3 · Predice cuál de tres fertilizantes nitrogenados, como la urea, el nitrato de amonio y el sulfato de amonio, aporta más nitrógeno por kilogramo.</t>
  </si>
  <si>
    <t>E2 · Transforma la composición centesimal en razones molares enteras para obtener la fórmula empírica y, con la masa molar, la fórmula molecular.</t>
  </si>
  <si>
    <t>Creatividad (Explorar)
Inventa una analogía original, con objetos salvadoreños, que ayude a sus compañeros a imaginar el tamaño de un nanómetro.</t>
  </si>
  <si>
    <t>D4 · Calcula la composición centesimal de los fertilizantes a partir de sus fórmulas y concluye cuál es más eficiente en nitrógeno.</t>
  </si>
  <si>
    <t>Cómo se integran sin sobresaturar la secuencia</t>
  </si>
  <si>
    <t>I5 · Justifica, con los cálculos, qué fertilizante sería más conveniente para un cultivo de caña considerando también su impacto en el suelo.</t>
  </si>
  <si>
    <t>Conocer: definir nanomaterial según la escala. Aplicar: convertir unidades y construir una escala comparativa de tamaños</t>
  </si>
  <si>
    <t>Pensamiento crítico (Explicar)
Verifica la fórmula empírica obtenida recalculando su composición centesimal y compara el resultado con los datos de partida.</t>
  </si>
  <si>
    <t>Escala comparativa de tamaños en notación científica con cálculo de la relación superficie-volumen</t>
  </si>
  <si>
    <t>Conocer: diferenciar fórmula empírica y fórmula molecular. Aplicar: calcular la composición centesimal y las fórmulas</t>
  </si>
  <si>
    <t>Ejercicios resueltos de fórmula empírica y molecular y tabla comparativa del contenido de nitrógeno de fertilizantes</t>
  </si>
  <si>
    <t>1.8. Explica el concepto de nanomaterial en función del tamaño de su partícula o estructura.</t>
  </si>
  <si>
    <t>1. Una sola habilidad del siglo XXI por tema, trabajada en una fase concreta de la secuencia (no en las cinco).</t>
  </si>
  <si>
    <t>2.5. Determina la fórmula empírica y la fórmula molecular de un compuesto a partir de su composición centesimal y de su masa molar.</t>
  </si>
  <si>
    <r>
      <rPr>
        <rFont val="Arial"/>
        <color theme="1"/>
        <sz val="9.0"/>
      </rPr>
      <t>3.4 Pensamiento computacional y programación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</si>
  <si>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3.4 Pensamiento computacional y programación – Básico</t>
    </r>
    <r>
      <rPr>
        <rFont val="Arial"/>
        <color rgb="FF7030A0"/>
        <sz val="9.0"/>
      </rPr>
      <t xml:space="preserve">
Con la IA (DigComp 3.0, nivel real): CS1.2.10 – Intermedio: reconoce que la IA puede dar respuestas equivocadas que parecen ciertas y que quien la usa debe verificarlas.</t>
    </r>
  </si>
  <si>
    <t>2. Una sola habilidad transversal por tema, dentro de una actividad que ya existe: no se agregan actividades nuevas.</t>
  </si>
  <si>
    <r>
      <rPr>
        <rFont val="Arial"/>
        <color theme="1"/>
        <sz val="9.0"/>
      </rPr>
      <t>Construir en una hoja de cálculo un algoritmo que, a partir de porcentajes en masa, calcule las razones molares y proponga la fórmula empírica.</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Calcula tú la composición centesimal de la sacarosa y de la urea, y la fórmula empírica y molecular de un compuesto con datos de tu libro. Luego pide a la IA que resuelva los mismos ejercicios paso a paso. Busca errores típicos: redondear demasiado pronto los cocientes, no multiplicar para obtener enteros o confundir fórmula empírica con molecular. Escribe la corrección de cada error.
Evidencia: Ejercicios resueltos por ti junto a la «Respuesta de IA», con el paso donde difieren marcado y ✔/✘; al pie, el tipo de error encontrado. Una línea en tu registro de uso de IA.
→ PISA I5 · TIMSS Aplicar</t>
    </r>
  </si>
  <si>
    <t>3. Las cuatro habilidades del siglo XXI rotan dentro de cada unidad, para que todas aparezcan de forma equilibrada.</t>
  </si>
  <si>
    <t>Convivir
Comparte su algoritmo con otro equipo y colabora para corregir los casos en que las razones molares no son enteras.
↳ Se trabaja en la actividad digital (DigComp 3.4).</t>
  </si>
  <si>
    <t>Nuevo (planeador)
Planeador Química I · 3.5</t>
  </si>
  <si>
    <t>4. La habilidad transversal se vincula con la actividad digital cuando la competencia DigComp del tema la trabaja (lo indica la flecha ↳).</t>
  </si>
  <si>
    <t>U3 - Eje integrador: organización</t>
  </si>
  <si>
    <t>5. Se observa con una escala sencilla de tres niveles; no requiere instrumentos adicionales.</t>
  </si>
  <si>
    <r>
      <rPr>
        <rFont val="Arial"/>
        <color theme="1"/>
        <sz val="9.0"/>
      </rPr>
      <t>Programar en una hoja de cálculo o en Python un algoritmo que divida un cubo sucesivamente y calcule la relación superficie-volumen en cada paso.</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Mide con una regla un grano de sal y un grano de arena y expresa su tamaño en mm, µm y nm. Construye una escala de potencias de diez desde 1 m hasta 0,1 nm y ubica en ella un cabello, una bacteria, un virus y un átomo usando datos del texto de la unidad. Luego pídele a la IA la misma escala y revisa sus conversiones de unidades una por una.
Evidencia: Escala dibujada en tu cuaderno con tus valores y, al lado, los de la IA rotulados «Respuesta de IA». Encierra en rojo cada conversión de unidades equivocada y escribe la correcta con tu cálculo. Anota una línea en el registro de uso de IA.
Refuerza con: PhET «Construye un átomo» (https://phet.colorado.edu/sims/html/build-an-atom/latest/build-an-atom_es.html)
→ PISA E3 · TIMSS Aplicar</t>
    </r>
  </si>
  <si>
    <t>Habilidades del siglo XXI (4C)</t>
  </si>
  <si>
    <t>Convivir
Comparte su algoritmo con el grupo y ayuda a los compañeros que tienen dificultades para ejecutarlo.
↳ Se trabaja en la actividad digital (DigComp 3.4).</t>
  </si>
  <si>
    <t>3. Modelos atómicos y estructura</t>
  </si>
  <si>
    <t>Evolución de los modelos atómicos</t>
  </si>
  <si>
    <t>Rayos catódicos
Descubrimiento del electrón
Modelo atómico de Thomson</t>
  </si>
  <si>
    <t>Oficial
Malla 11.° grado, U7 · 7.8</t>
  </si>
  <si>
    <t>3.1. Análisis de los experimentos con rayos catódicos que condujeron al descubrimiento del electrón y al modelo de Thomson.</t>
  </si>
  <si>
    <t>Habilidad</t>
  </si>
  <si>
    <t>Explica la evolución de los modelos atómicos a partir de la evidencia experimental que llevó a proponerlos y a descartarlos. Calcula las energías y longitudes de onda de las transiciones del átomo de hidrógeno y escribe la configuración electrónica de átomos e iones aplicando los números cuánticos y los principios de construcción.</t>
  </si>
  <si>
    <t>Qué significa en Bachillerato</t>
  </si>
  <si>
    <t>Aplicaciones</t>
  </si>
  <si>
    <t>Cómo lo observo</t>
  </si>
  <si>
    <t>Valoración del carácter provisional y perfectible del conocimiento científico. Responsabilidad y prudencia frente a los usos de la radiación y de los isótopos en la medicina, la industria y la investigación.</t>
  </si>
  <si>
    <t>Distribución por fase</t>
  </si>
  <si>
    <t>1.5. Investigación de las principales aplicaciones de los nanomateriales.</t>
  </si>
  <si>
    <t>N.° de temas</t>
  </si>
  <si>
    <t>Creatividad</t>
  </si>
  <si>
    <t>E1 · Recuerda la representación del átomo de Dalton trabajada en la unidad anterior y se pregunta qué evidencia obligó a dividirlo.</t>
  </si>
  <si>
    <t>E6 · Reconoce aplicaciones de los nanomateriales, como los filtros de agua con nanopartículas de plata y los protectores solares con óxido de zinc.</t>
  </si>
  <si>
    <t>E5 · Formula una hipótesis sobre la naturaleza de los rayos catódicos a partir de su desviación hacia la placa positiva.</t>
  </si>
  <si>
    <t>E4 · Utiliza el modelo de Thomson para explicar la neutralidad del átomo y la emisión de partículas negativas por cualquier metal.</t>
  </si>
  <si>
    <t>D1 · Pregunta guía: «¿Qué beneficios y qué riesgos pueden tener los nanomateriales para la salud y el ambiente?».</t>
  </si>
  <si>
    <t>D4 · Interpreta datos históricos de la relación carga/masa del electrón y de la gota de aceite de Millikan para calcular la masa del electrón.</t>
  </si>
  <si>
    <t>E3 · Predice qué resultado esperaría Thomson al bombardear una lámina delgada de oro con partículas positivas según su modelo.</t>
  </si>
  <si>
    <t>Proponer diseños experimentales, modelos, soluciones o productos propios y mejorarlos a partir de pruebas y datos.</t>
  </si>
  <si>
    <t>E1 · Describe aplicaciones de los nanomateriales en medicina, electrónica, energía solar, textiles y tratamiento de agua.</t>
  </si>
  <si>
    <t>Comunicación (Aproximar)
Relata como un cronista científico el experimento de Thomson, explicando con claridad qué observó y qué concluyó.</t>
  </si>
  <si>
    <t>Conocer: describir experimentos históricos. Aplicar: calcular la masa del electrón. Razonar: interpretar evidencia</t>
  </si>
  <si>
    <t>I2 · Distingue en artículos sobre nanotecnología las afirmaciones basadas en estudios de las promesas publicitarias sin respaldo.</t>
  </si>
  <si>
    <t>Esquema rotulado del tubo de rayos catódicos con explicación del modelo de Thomson y cálculo de la masa del electrón</t>
  </si>
  <si>
    <t>Propone al menos una idea, diseño o solución original, la fundamenta y la mejora con evidencia.</t>
  </si>
  <si>
    <t>INDAGACIÓN: Contrastar los resultados de experimentos históricos y los espectros atómicos con las predicciones de cada modelo atómico, para deducir la estructura electrónica del átomo y justificar el modelo mecanocuántico.</t>
  </si>
  <si>
    <t>I5 · Justifica una recomendación sobre el uso de nanofiltros para potabilizar agua en comunidades rurales considerando beneficios y riesgos.</t>
  </si>
  <si>
    <t>Aproximar: 7 · Explorar: 4 · Explicar: 14 · Indagar: 8 · Reforzar: 13</t>
  </si>
  <si>
    <t>Comunicación (Explicar)
Redacta un texto divulgativo breve y claro sobre una aplicación de los nanomateriales dirigido a estudiantes de tercer ciclo.</t>
  </si>
  <si>
    <t>Comunicación</t>
  </si>
  <si>
    <t>Conocer: describir aplicaciones de los nanomateriales</t>
  </si>
  <si>
    <t>3.1. Explica cómo la desviación de los rayos catódicos en campos eléctricos y magnéticos llevó a Thomson a proponer el electrón y su modelo atómico.</t>
  </si>
  <si>
    <t>Explicar con precisión, oralmente y por escrito, con gráficas, modelos o productos digitales, a pares, a otros grados o a la comunidad.</t>
  </si>
  <si>
    <t>Texto divulgativo sobre una aplicación de los nanomateriales con análisis de beneficios y riesgos</t>
  </si>
  <si>
    <t>El átomo está formado por un núcleo pequeño y denso de protones y neutrones rodeado de electrones que ocupan niveles de energía cuantizados. Los modelos atómicos se han corregido a medida que nuevos experimentos los contradecían, y su comprensión permite hoy la espectroscopía, la datación con isótopos, la medicina nuclear y la electrónica.</t>
  </si>
  <si>
    <t>Comunica con orden, vocabulario científico y unidades correctas; responde preguntas con argumentos.</t>
  </si>
  <si>
    <t>1.9. Ejemplifica las principales aplicaciones de los nanomateriales.</t>
  </si>
  <si>
    <t>Aproximar: 10 · Explorar: 6 · Explicar: 13 · Indagar: 5 · Reforzar: 20</t>
  </si>
  <si>
    <t>Colaboración</t>
  </si>
  <si>
    <t>Trabajar en equipo con roles, acordar procedimientos, repartir mediciones y construir un producto común.</t>
  </si>
  <si>
    <r>
      <rPr>
        <rFont val="Arial"/>
        <color theme="1"/>
        <sz val="9.0"/>
      </rPr>
      <t>3.3 Derechos de autor y licencias – Básico</t>
    </r>
    <r>
      <rPr>
        <rFont val="Arial"/>
        <color rgb="FF7030A0"/>
        <sz val="9.0"/>
      </rPr>
      <t xml:space="preserve">
Con la IA (DigComp 3.0, nivel real): CS1.2.13 – Intermedio: valora qué tan confiable es una fuente, teniendo en cuenta el papel de la IA.</t>
    </r>
  </si>
  <si>
    <r>
      <rPr>
        <rFont val="Arial"/>
        <color theme="1"/>
        <sz val="9.0"/>
      </rPr>
      <t>5.2 Identificación de necesidades y respuestas tecnológicas – Básico</t>
    </r>
    <r>
      <rPr>
        <rFont val="Arial"/>
        <color rgb="FF7030A0"/>
        <sz val="9.0"/>
      </rPr>
      <t xml:space="preserve">
Con la IA (DigComp 3.0, nivel real): CS1.2.14 – Avanzado: examina de forma continua cómo la IA, los sesgos y distintos intereses influyen en la información.</t>
    </r>
  </si>
  <si>
    <t>Cumple su rol, respeta los acuerdos, integra aportes de otros y contribuye al producto del equipo.</t>
  </si>
  <si>
    <t>Aproximar: 2 · Explorar: 9 · Explicar: 9 · Indagar: 22 · Reforzar: 9</t>
  </si>
  <si>
    <r>
      <rPr>
        <rFont val="Arial"/>
        <color theme="1"/>
        <sz val="9.0"/>
      </rPr>
      <t>Seleccionar imágenes y diagramas históricos del tubo de rayos catódicos con licencia abierta e incluir su atribución en el esquema.</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Resume tú en un esquema el experimento de los rayos catódicos y por qué llevó a proponer el electrón. Después pregúntale al cuaderno de NotebookLM: «¿Qué midió exactamente Thomson y qué midió después Millikan?». Revisa si la respuesta distingue la relación carga/masa de la carga del electrón. Usa el simulador «Cargas y campos» para ver hacia dónde se desvía una carga negativa entre placas.
Evidencia: Ficha «Yo pienso · La IA dice · Lo comprobé»: tu esquema; «Respuesta de IA» con cita; en «Lo comprobé», lo que viste en el simulador y si distinguió e/m de e (✔/✘). Una línea en tu registro de uso de IA.
Refuerza con: PhET «Cargas y campos» (https://phet.colorado.edu/sims/html/charges-and-fields/latest/charges-and-fields_es.html)
→ PISA E3 · TIMSS Aplicar</t>
    </r>
  </si>
  <si>
    <t>Pensamiento crítico</t>
  </si>
  <si>
    <t>Uso ético de la información
Atribuye correctamente cada imagen histórica a su fuente y respeta las condiciones de su licencia.
↳ Se trabaja en la actividad digital (DigComp 3.3).</t>
  </si>
  <si>
    <t>Comprobar antes de creer: evaluar diseños, datos, incertidumbres y fuentes para aceptar o rechazar una afirmación.</t>
  </si>
  <si>
    <t>Justifica sus conclusiones con datos, reconoce límites e incertidumbres y detecta fallas en argumentos.</t>
  </si>
  <si>
    <r>
      <rPr>
        <rFont val="Arial"/>
        <color theme="1"/>
        <sz val="9.0"/>
      </rPr>
      <t>Identificar qué herramienta digital (base de datos, simulador o visor molecular) responde mejor a la necesidad de representar una nanopartícula.</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Elige tres productos que anuncien «nanotecnología» (protector solar, tela antibacteriana, pintura). Escribe qué crees que hacen las nanopartículas. Pregunta al cuaderno de la unidad en NotebookLM: «¿Qué propiedades cambian cuando un material está a escala nanométrica y qué riesgos se estudian?». Compara su respuesta con lo que promete cada etiqueta y prepara un cartel.
Evidencia: Cartel con «Promesa de la etiqueta · Lo que dicen las fuentes del cuaderno · ¿Tiene respaldo?», con las citas del cuaderno rotuladas «Respuesta de IA» y la declaración de uso de IA: «Así usé la IA: … · Lo que revisé yo: …».
→ PISA I2 · TIMSS Razonar</t>
    </r>
  </si>
  <si>
    <t>Explorar: 9 · Explicar: 10 · Indagar: 23 · Reforzar: 16</t>
  </si>
  <si>
    <t>Respeto al medio ambiente, entorno y territorio
Valora el riesgo ambiental de liberar nanopartículas al agua y propone medidas para su disposición segura.</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</si>
  <si>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Z: número atómico, adimensional. A: número de masa, adimensional. N: número de neutrones, adimensional. e: carga elemental, 1.602 × 10⁻¹⁹ C. λ: longitud de onda, en metros, m (en espectroscopía, nanómetros, nm). ν: frecuencia, en hercios, Hz. c: rapidez de la luz en el vacío, 2.998 × 10⁸ m/s. h: constante de Planck, 6.626 × 10⁻³⁴ J·s. E: energía, en julios, J (a escala atómica, electronvoltios, eV). R_H: constante de Rydberg, 1.097 × 10⁷ m⁻¹. n, l, mₗ, mₛ: números cuánticos principal, secundario, magnético y de espín, adimensionales. Los núclidos se representan con el número de masa como superíndice y el número atómico como subíndice a la izquierda del símbolo (¹⁴₆C) o con el nombre y el número de masa (carbono-14); las configuraciones electrónicas se escriben con el nivel, la letra del subnivel y el número de electrones como superíndice (1s² 2s² 2p⁶).</t>
  </si>
  <si>
    <t>Habilidades transversales</t>
  </si>
  <si>
    <t>Oficial
Malla 11.° grado, U7 · 7.9</t>
  </si>
  <si>
    <t>U2 - Eje integrador: organización</t>
  </si>
  <si>
    <t>Nuevo (planeador)
Planeador Química I · 4.1</t>
  </si>
  <si>
    <t>Competencias DigComp 3.0 relacionadas</t>
  </si>
  <si>
    <t>Radiaciones alfa, beta y gamma
Experimento de Geiger y Marsden
Modelo nuclear de Rutherford</t>
  </si>
  <si>
    <t>3.2. Interpretación del experimento de Geiger y Marsden y de las propiedades de las radiaciones alfa, beta y gamma mediante un simulador.</t>
  </si>
  <si>
    <t>E1 · Recuerda la predicción del modelo de Thomson sobre el paso de partículas alfa por una lámina delgada de oro.</t>
  </si>
  <si>
    <t>Uso ético de la información</t>
  </si>
  <si>
    <t>D1 · Pregunta guía: «¿Por qué unas pocas partículas alfa rebotaron hacia atrás si el átomo era una esfera de carga difusa?».</t>
  </si>
  <si>
    <t>E1 · Compara la carga, la masa y el poder de penetración de las radiaciones alfa, beta y gamma y su desviación en un campo eléctrico.</t>
  </si>
  <si>
    <t>2. Introducción a la química orgánica</t>
  </si>
  <si>
    <t>D4 · Registra en un simulador de dispersión de Rutherford el ángulo de desviación según el parámetro de impacto y concluye sobre el tamaño del núcleo.</t>
  </si>
  <si>
    <t>Buscar, usar y compartir información con honestidad: registrar datos reales, citar autores y licencias, verificar fuentes y proteger datos personales.</t>
  </si>
  <si>
    <t>E3 · Predice cómo cambiarían los resultados si la lámina fuera de un metal con menor número atómico y lo verifica en el simulador.</t>
  </si>
  <si>
    <t>Propiedades de los compuestos orgánicos</t>
  </si>
  <si>
    <t>1.1, 1.2, 2.1, 2.2, 3.1, 3.2, 3.3 y 4.2</t>
  </si>
  <si>
    <t>Creatividad (Explorar)
Propone una analogía original, con objetos del aula, que represente la relación entre el tamaño del núcleo y el tamaño del átomo.</t>
  </si>
  <si>
    <t>Aplicar: registrar y analizar datos simulados. Razonar: deducir la estructura nuclear</t>
  </si>
  <si>
    <t>Registra datos reales sin alterarlos, cita fuentes y licencias, verifica antes de compartir y protege datos personales.</t>
  </si>
  <si>
    <t>Aplicaciones de los compuestos orgánicos</t>
  </si>
  <si>
    <t>Tabla de datos del simulador con gráfica de desviación y explicación escrita del modelo nuclear</t>
  </si>
  <si>
    <t>2.1. Identificación de compuestos orgánicos en las sustancias de uso común.</t>
  </si>
  <si>
    <t>3.2. Deduce la existencia de un núcleo pequeño, denso y positivo a partir de los resultados de la dispersión de partículas alfa en una lámina de oro.</t>
  </si>
  <si>
    <t>Respeto al medio ambiente, entorno y territorio</t>
  </si>
  <si>
    <t>Cuidar los recursos, la biodiversidad y el territorio salvadoreño; reducir residuos y consumo energético; disponer correctamente residuos químicos y electrónicos.</t>
  </si>
  <si>
    <t>Deduce la fórmula estructural del benceno.</t>
  </si>
  <si>
    <r>
      <rPr>
        <rFont val="Arial"/>
        <color theme="1"/>
        <sz val="9.0"/>
      </rPr>
      <t>5.3 Identificación de soluciones creativas con tecnologías digitales – Básico</t>
    </r>
    <r>
      <rPr>
        <rFont val="Arial"/>
        <color rgb="FF7030A0"/>
        <sz val="9.0"/>
      </rPr>
      <t xml:space="preserve">
Con la IA (DigComp 3.0, nivel real): CS1.2.13 – Intermedio: valora qué tan confiable es una fuente, teniendo en cuenta el papel de la IA.</t>
    </r>
  </si>
  <si>
    <r>
      <rPr>
        <rFont val="Arial"/>
        <color theme="1"/>
        <sz val="10.0"/>
      </rPr>
      <t>4.4 Protección del medio ambiente</t>
    </r>
    <r>
      <rPr>
        <rFont val="Arial"/>
        <color rgb="FF7030A0"/>
        <sz val="10.0"/>
      </rPr>
      <t xml:space="preserve">
DigComp 3.0: 4.4 Impacto ambiental de las tecnologías digitales</t>
    </r>
  </si>
  <si>
    <t>Reduce y dispone correctamente los residuos, ahorra recursos y propone acciones para su comunidad y territorio.</t>
  </si>
  <si>
    <t>Convivir</t>
  </si>
  <si>
    <r>
      <rPr>
        <rFont val="Arial"/>
        <color theme="1"/>
        <sz val="9.0"/>
      </rPr>
      <t>Usar el simulador de dispersión de Rutherford para variar la energía de las partículas y el tipo de núcleo, registrando los resultados.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Haz una analogía del experimento de Rutherford: esconde una tapadera bajo un cartón, lanza 30 canicas por debajo desde distintos puntos y registra cuántas se desvían. Deduce tú forma y tamaño del objeto oculto. Luego pregúntale al cuaderno de NotebookLM: «¿Qué observaron Geiger y Marsden y qué concluyó Rutherford?». Compara con tu analogía y escribe una diferencia entre tu modelo y el átomo real.
Evidencia: Tabla de tus 30 lanzamientos y dibujo del objeto deducido; «Respuesta de IA» con su cita; «Lo comprobé» con ✔/✘ y un límite de la analogía. Una línea en tu registro de uso de IA.
Refuerza con: PhET «Construye un átomo» (https://phet.colorado.edu/sims/html/build-an-atom/latest/build-an-atom_es.html)
→ PISA D4 · TIMSS Razonar</t>
    </r>
  </si>
  <si>
    <t>Relacionarse con respeto y seguridad: escuchar, acordar, cuidar la integridad propia y ajena en el laboratorio y en entornos digitales, e incluir a todos.</t>
  </si>
  <si>
    <t>2.1, 2.3, 2.4, 2.5, 3.4, 4.1 y 4.3</t>
  </si>
  <si>
    <t>Respeto al medio ambiente, entorno y territorio
Reconoce, mediante el simulador y datos de protección radiológica, por qué las fuentes radiactivas no se manipulan en el aula y deben gestionarse con control ambiental.</t>
  </si>
  <si>
    <t>Escucha y respeta acuerdos, cuida la seguridad propia y ajena y se comporta con respeto en entornos digitales.</t>
  </si>
  <si>
    <t>Nuevo (planeador)
Planeador Química I · 4.2</t>
  </si>
  <si>
    <t>Escala de observación (para las dos columnas)</t>
  </si>
  <si>
    <t>Protón
Neutrón
Partículas subatómicas y sus propiedades</t>
  </si>
  <si>
    <t>Conciencia sobre la dependencia de la sociedad actual en los compuestos orgánicos para la producción energética, agrícola y de materiales sintéticos.</t>
  </si>
  <si>
    <t>3.3. Análisis del descubrimiento del protón y del neutrón y comparación de las propiedades de las partículas subatómicas.</t>
  </si>
  <si>
    <t>Nivel</t>
  </si>
  <si>
    <t>E1 · Recuerda que el modelo de Rutherford dejaba sin explicar por qué la masa de los núcleos era mayor que la de sus protones.</t>
  </si>
  <si>
    <t>Descripción</t>
  </si>
  <si>
    <t>E5 · Formula una hipótesis sobre por qué una partícula sin carga es más difícil de detectar que una partícula cargada.</t>
  </si>
  <si>
    <t>E2 · Organiza en una tabla la masa en kilogramos y en unidades de masa atómica, la carga relativa y la ubicación de cada partícula subatómica.</t>
  </si>
  <si>
    <t>E4 · Usa un modelo a escala del átomo de helio para explicar la distribución de la masa entre el núcleo y la corteza electrónica.</t>
  </si>
  <si>
    <t>E3 · Justifica con los experimentos de Chadwick por qué la existencia del neutrón resolvió el problema de la masa nuclear.</t>
  </si>
  <si>
    <t>Colaboración (Explicar)
Construye en equipo un modelo a escala del átomo de helio, repartiendo los cálculos de tamaño y masa entre los integrantes.</t>
  </si>
  <si>
    <t>Conocer: comparar propiedades de partículas. Razonar: justificar con evidencia histórica</t>
  </si>
  <si>
    <t>Con ayuda</t>
  </si>
  <si>
    <t>Tabla comparativa de partículas subatómicas y modelo a escala del átomo de helio con cálculos</t>
  </si>
  <si>
    <t>E1 · Recuerda sustancias del hogar, como el azúcar de caña, el aceite de cocina, el algodón y el gas propano, y se pregunta qué tienen en común.</t>
  </si>
  <si>
    <t>Muestra la habilidad cuando la docente lo guía paso a paso.</t>
  </si>
  <si>
    <t>3.3. Compara la carga, la masa y la ubicación de protones, neutrones y electrones, y explica por qué el neutrón fue la última partícula en descubrirse.</t>
  </si>
  <si>
    <t>E5 · Propone una hipótesis sobre por qué el azúcar se carboniza al calentarse y la sal no, a partir de una demostración realizada por la docente.</t>
  </si>
  <si>
    <r>
      <rPr>
        <rFont val="Arial"/>
        <color theme="1"/>
        <sz val="9.0"/>
      </rPr>
      <t>2.1 Interacción a través de y con tecnologías digitales – Básico</t>
    </r>
    <r>
      <rPr>
        <rFont val="Arial"/>
        <color rgb="FF7030A0"/>
        <sz val="9.0"/>
      </rPr>
      <t xml:space="preserve">
Con la IA (DigComp 3.0, nivel real): CS1.2.13 – Intermedio: valora qué tan confiable es una fuente, teniendo en cuenta el papel de la IA.</t>
    </r>
  </si>
  <si>
    <t>E1 · Diferencia compuestos orgánicos e inorgánicos por su composición, tipo de enlace, solubilidad y comportamiento frente al calor.</t>
  </si>
  <si>
    <t>D4 · Analiza las etiquetas de composición de cinco productos de uso común y concluye cuáles de sus componentes son compuestos orgánicos.</t>
  </si>
  <si>
    <t>E6 · Explica la dependencia de la economía salvadoreña de compuestos orgánicos como el azúcar, el café, los combustibles y los plásticos.</t>
  </si>
  <si>
    <r>
      <rPr>
        <rFont val="Arial"/>
        <color theme="1"/>
        <sz val="9.0"/>
      </rPr>
      <t>Coordinar el trabajo del equipo mediante el canal de mensajería del aula virtual, compartiendo cálculos y acuerdos del modelo a escala.</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Haz tú una tabla del protón, el neutrón y el electrón con carga, masa relativa, ubicación y quién lo descubrió. Luego pídele al cuaderno de NotebookLM la misma tabla con masas en kg y en u. Verifica cada valor en una fuente oficial de constantes (NIST) y en el simulador «Construye un átomo». Marca los datos que no coinciden y calcula la diferencia.
Evidencia: Tabla doble «Mi tabla · Respuesta de IA · Fuente oficial» con ✔/✘ en cada dato y el error relativo de las masas. Una línea en tu registro de uso de IA.
Refuerza con: PhET «Construye un átomo» (https://phet.colorado.edu/sims/html/build-an-atom/latest/build-an-atom_es.html)
→ PISA E3 · TIMSS Aplicar</t>
    </r>
  </si>
  <si>
    <t>Comunicación (Aproximar)
Describe ante el grupo, con vocabulario químico preciso, un producto del hogar e identifica en él los compuestos orgánicos.</t>
  </si>
  <si>
    <t>Convivir
Mantiene un trato respetuoso en el canal de mensajería del equipo y responde a tiempo los acuerdos asumidos.
↳ Se trabaja en la actividad digital (DigComp 2.1).</t>
  </si>
  <si>
    <t>Nuevo (planeador)
Planeador Química I · 4.3</t>
  </si>
  <si>
    <t>Conocer: diferenciar compuestos orgánicos e inorgánicos. Aplicar: clasificar sustancias</t>
  </si>
  <si>
    <t>Cuadro de clasificación de sustancias de uso común en orgánicas e inorgánicas con criterios justificados</t>
  </si>
  <si>
    <t>Estructura del átomo</t>
  </si>
  <si>
    <t>Número atómico y número de masa
Iones: cationes y aniones
Isótopos y masa atómica promedio</t>
  </si>
  <si>
    <t>En proceso</t>
  </si>
  <si>
    <t>COMUNICACIÓN: Representa apropiadamente los orbitales del carbono y las estructuras que puede conformar, para explicar las funciones químicas, propiedades y aplicaciones de los hidrocarburos alifáticos.</t>
  </si>
  <si>
    <t>3.4. Cálculo de las partículas subatómicas de átomos e iones y de la masa atómica promedio de un elemento a partir de la abundancia de sus isótopos.</t>
  </si>
  <si>
    <t>Muestra la habilidad con recordatorios ocasionales.</t>
  </si>
  <si>
    <t>E6 · Reconoce aplicaciones de los isótopos en El Salvador, como el uso de isótopos del agua para estudiar los acuíferos y la medicina nuclear en hospitales.</t>
  </si>
  <si>
    <t>E3 · Predice si la masa atómica del cloro, 35.45, está más cerca de 35 o de 37 y justifica qué isótopo es más abundante.</t>
  </si>
  <si>
    <t>E1 · Calcula el número de protones, neutrones y electrones de átomos neutros, cationes y aniones a partir de su notación de núclido.</t>
  </si>
  <si>
    <t>I3 · Argumenta con datos de abundancia isotópica por qué las masas atómicas de la tabla periódica no son números enteros.</t>
  </si>
  <si>
    <t>I1 · Busca información confiable sobre la datación con carbono-14 y evalúa sus alcances y límites para fechar restos arqueológicos como los de Joya de Cerén.</t>
  </si>
  <si>
    <t>2.1. Ejemplifica sustancias de uso común que contienen compuestos orgánicos.</t>
  </si>
  <si>
    <t>Lo logra</t>
  </si>
  <si>
    <t>Pensamiento crítico (Indagar)
Evalúa si los datos de abundancia de un problema son coherentes con la masa atómica de la tabla y detecta errores intencionales.</t>
  </si>
  <si>
    <t>Muestra la habilidad por iniciativa propia y ayuda a otros a mostrarla.</t>
  </si>
  <si>
    <t>Conocer: identificar número atómico, número másico e isótopos. Aplicar: calcular partículas subatómicas y la masa atómica promedio</t>
  </si>
  <si>
    <t>Ejercicios resueltos de núclidos e iones y cálculo de la masa atómica promedio de tres elementos</t>
  </si>
  <si>
    <t>Los hidrocarburos son compuestos orgánicos constituidos principalmente por hidrógeno y carbono, cuya función química está en el tipo de enlace y las estructuras que poseen.</t>
  </si>
  <si>
    <t>3.4. Calcula la masa atómica promedio de un elemento a partir de la masa y la abundancia de sus isótopos y determina las partículas de átomos e iones.</t>
  </si>
  <si>
    <r>
      <rPr>
        <rFont val="Arial"/>
        <color theme="1"/>
        <sz val="9.0"/>
      </rPr>
      <t>1.2 Evaluación de la información – Básico</t>
    </r>
    <r>
      <rPr>
        <rFont val="Arial"/>
        <color rgb="FF7030A0"/>
        <sz val="9.0"/>
      </rPr>
      <t xml:space="preserve">
Con la IA (DigComp 3.0, nivel real): CS1.2.13 – Intermedio: valora qué tan confiable es una fuente, teniendo en cuenta el papel de la IA.</t>
    </r>
  </si>
  <si>
    <r>
      <rPr>
        <rFont val="Arial"/>
        <color theme="1"/>
        <sz val="9.0"/>
      </rPr>
      <t>Evaluar la fiabilidad de dos fuentes digitales sobre la datación de sitios arqueológicos salvadoreños comparando su autoría y el método descrito.</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Calcula tú protones, neutrones y electrones de ⁵⁶Fe, Fe³⁺, ³⁵Cl⁻ y ³²S²⁻. Explora el simulador «Isótopos y masa atómica» y calcula la masa atómica promedio del cloro con sus abundancias. Luego pregúntale al cuaderno de NotebookLM las abundancias de los isótopos del cloro y compáralas con el simulador. Explica por qué la masa de la tabla periódica no es un número entero.
Evidencia: Tabla de partículas de los 4 átomos e iones; cálculo de la masa promedio; «Respuesta de IA» con su cita comparada con el simulador (✔/✘). Una línea en tu registro de uso de IA.
Refuerza con: PhET «Isótopos y masa atómica» (https://phet.colorado.edu/sims/html/isotopes-and-atomic-mass/latest/isotopes-and-atomic-mass_es.html)
→ PISA I1 · TIMSS Aplicar</t>
    </r>
  </si>
  <si>
    <r>
      <rPr>
        <rFont val="Arial"/>
        <color theme="1"/>
        <sz val="9.0"/>
      </rPr>
      <t>2.2 Compartir a través de tecnologías digitales – Básico</t>
    </r>
    <r>
      <rPr>
        <rFont val="Arial"/>
        <color rgb="FF7030A0"/>
        <sz val="9.0"/>
      </rPr>
      <t xml:space="preserve">
Con la IA (DigComp 3.0, nivel real): CS1.2.10 – Intermedio: reconoce que la IA puede dar respuestas equivocadas que parecen ciertas y que quien la usa debe verificarlas.</t>
    </r>
  </si>
  <si>
    <t>Respeto al medio ambiente, entorno y territorio
Valora el uso de isótopos para estudiar los acuíferos salvadoreños y proteger las fuentes de agua de la comunidad.</t>
  </si>
  <si>
    <t>Nuevo (planeador)
Planeador Química I · 4.4</t>
  </si>
  <si>
    <t>Naturaleza ondulatoria y corpuscular de la luz
Espectro electromagnético
Espectros de emisión y de absorción</t>
  </si>
  <si>
    <t>3.5. Observación y análisis de espectros de emisión con un espectroscopio sencillo y relación de la luz con la energía de los fotones.</t>
  </si>
  <si>
    <t>E1 · Recuerda la dispersión de la luz del sol en un arcoíris y observa los colores característicos de los fuegos artificiales de las fiestas patronales.</t>
  </si>
  <si>
    <r>
      <rPr>
        <rFont val="Arial"/>
        <color theme="1"/>
        <sz val="9.0"/>
      </rPr>
      <t>Compartir en el aula virtual una galería de etiquetas de productos analizados, citando la fuente de cada fotografía.</t>
    </r>
    <r>
      <rPr>
        <rFont val="Arial"/>
        <color rgb="FF7030A0"/>
        <sz val="9.0"/>
      </rPr>
      <t xml:space="preserve">
IA (Explorar · el estudiante, solo o en pareja).
Herramienta y medio: app Pl@ntNet (plantnet.org) en el celular o la tableta; muestra varias opciones con su porcentaje de confianza.
Actividad: Identifica con Pl@ntNet cinco plantas de tu entorno (caña, café, eucalipto, achiote, maíz) y fotografía solo la hoja o la flor. Escribe qué compuesto orgánico crees que aporta cada una (azúcar, cafeína, aceite esencial, pigmento, almidón). Luego busca en las etiquetas de productos de tu casa esos compuestos y comprueba en el texto de la unidad tus predicciones.
Evidencia: Tabla «Planta · Nombre que dio Pl@ntNet (hecho con IA) · ¿La reconocí yo? · Compuesto orgánico que predije · Lo comprobé en…». Marca ✔ o ✘ en el nombre y en el compuesto y anota una línea en el registro de uso de IA.
→ PISA E5 · TIMSS Conocer</t>
    </r>
  </si>
  <si>
    <t>D1 · Pregunta guía: «¿Por qué la luz de una lámpara de sodio del alumbrado público no produce un arcoíris completo?».</t>
  </si>
  <si>
    <t>E2 · Transforma longitudes de onda en frecuencias y energías de fotones usando c = λν y E = hν.</t>
  </si>
  <si>
    <t>D2 · Construye un espectroscopio con un disco compacto y una caja, observa lámparas fluorescentes y LED, y compara sus espectros con uno continuo; los ensayos a la llama los demuestra la docente.</t>
  </si>
  <si>
    <t>Uso ético de la información
Publica solo fotografías tomadas por el equipo y oculta marcas comerciales para no promover productos.
↳ Se trabaja en la actividad digital (DigComp 2.2).</t>
  </si>
  <si>
    <t>I1 · Busca en bases de datos espectrales las líneas de emisión de varios elementos y las usa para identificar los de un espectro desconocido.</t>
  </si>
  <si>
    <t>Creatividad (Indagar)
Diseña y mejora su propio espectroscopio con materiales reciclados para obtener un espectro más nítido.</t>
  </si>
  <si>
    <t>Conocer: describir los espectros de emisión y absorción. Aplicar: calcular la frecuencia y la energía de los fotones</t>
  </si>
  <si>
    <t>Espectroscopio casero, fotografías de espectros rotuladas y cálculos de energía de las líneas observadas</t>
  </si>
  <si>
    <t>3.5. Relaciona la longitud de onda, la frecuencia y la energía de la luz y explica los espectros atómicos de emisión y absorción como huellas de cada elemento.</t>
  </si>
  <si>
    <t>Todos los estándares para la denominación, nomenclatura, escritura y representación de compuestos orgánicos deberán ser compatibles con las disposiciones de la Unión Internacional de Química Pura y Aplicada (IUPAC,
por sus siglas en inglés).^3, 4
Se utilizará el término «función» para referirse al grupo funcional o familia de las sustancias, de acuerdo con la IUPAC.^3
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t>
  </si>
  <si>
    <r>
      <rPr>
        <rFont val="Arial"/>
        <color theme="1"/>
        <sz val="9.0"/>
      </rPr>
      <t>4.2 Protección de datos personales y privacidad – Básico</t>
    </r>
    <r>
      <rPr>
        <rFont val="Arial"/>
        <color rgb="FF7030A0"/>
        <sz val="9.0"/>
      </rPr>
      <t xml:space="preserve">
Con la IA (DigComp 3.0, nivel real): CS1.2.08 – Intermedio: reconoce que los datos con que se entrena una IA influyen en qué tan confiable es.</t>
    </r>
  </si>
  <si>
    <r>
      <rPr>
        <rFont val="Arial"/>
        <color theme="1"/>
        <sz val="9.0"/>
      </rPr>
      <t>Revisar los permisos de ubicación, micrófono y archivos que solicita una aplicación de cámara o de espectroscopía antes de usarla para fotografiar espectros.</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Construye un espectroscopio con un CD viejo y una caja; observa una lámpara LED, una fluorescente y la pantalla del celular. Nunca mires el Sol. Fotografía cada espectro y escribe qué diferencias ves. Entrena Teachable Machine con 15 fotos por tipo de lámpara y pruébalo con fotos nuevas. Analiza si el modelo se fija en las líneas del espectro o en otras cosas, como el brillo o el fondo.
Evidencia: Fotos de espectros rotuladas; tabla «Foto nueva · Mi identificación · Modelo (hecho con IA) · ✔/✘»; un párrafo sobre qué rasgo usa el modelo y si ese rasgo es químico. Una línea en tu registro de uso de IA.
Refuerza con: PhET «Visión del color» (https://phet.colorado.edu/sims/html/color-vision/latest/color-vision_es.html)
→ PISA D2 · TIMSS Razonar</t>
    </r>
  </si>
  <si>
    <t>Oficial
Malla 10.° grado, U4 · 4.1</t>
  </si>
  <si>
    <t>Uso ético de la información
Protege sus datos personales configurando los permisos mínimos necesarios de la aplicación usada.
↳ Se trabaja en la actividad digital (DigComp 4.2).</t>
  </si>
  <si>
    <t>Nuevo (planeador)
Planeador Química I · 4.5</t>
  </si>
  <si>
    <t>El modelo mecanocuántico</t>
  </si>
  <si>
    <t>Hibridación del carbono</t>
  </si>
  <si>
    <t>Limitaciones del modelo de Bohr
Dualidad onda-partícula de De Broglie
Principio de incertidumbre y ecuación de Schrödinger</t>
  </si>
  <si>
    <t>2.2. Representación de orbitales híbridos a través de modelos tridimensionales.</t>
  </si>
  <si>
    <t>3.6. Análisis de las limitaciones del modelo de Bohr y de las hipótesis que fundamentan el modelo mecanocuántico del átomo.</t>
  </si>
  <si>
    <t>E1 · Recuerda que el modelo de Bohr solo predice con éxito el espectro del hidrógeno y se pregunta qué ocurre con átomos de varios electrones.</t>
  </si>
  <si>
    <t>E5 · Formula una hipótesis sobre por qué no es posible conocer a la vez la posición exacta y la velocidad de un electrón.</t>
  </si>
  <si>
    <t>E1 · Calcula la longitud de onda de De Broglie de un electrón y de una pelota de béisbol y explica por qué solo la del electrón es relevante.</t>
  </si>
  <si>
    <t>E1 · Recuerda la configuración electrónica del carbono y observa que solo tiene dos electrones desapareados en el estado fundamental.</t>
  </si>
  <si>
    <t>I2 · Distingue la trayectoria definida de una órbita de Bohr de la distribución de probabilidad de un orbital en la ecuación de Schrödinger.</t>
  </si>
  <si>
    <t>I1 · Evalúa fuentes de divulgación sobre la mecánica cuántica y señala cuáles usan el término «cuántico» de forma engañosa o pseudocientífica.</t>
  </si>
  <si>
    <t>E3 · Predice la geometría del metano a partir de la configuración electrónica del carbono y justifica por qué esa predicción no coincide con los datos experimentales.</t>
  </si>
  <si>
    <t>Comunicación (Reforzar)
Elabora un glosario ilustrado con definiciones precisas de órbita, orbital, cuantización e incertidumbre para compartir con la clase.</t>
  </si>
  <si>
    <t>Conocer: describir las hipótesis de De Broglie, Heisenberg y Schrödinger. Razonar: contrastar el modelo de Bohr con el mecanocuántico</t>
  </si>
  <si>
    <t>E4 · Explica la formación de los orbitales híbridos sp³, sp² y sp del carbono y la geometría tetraédrica, trigonal plana y lineal que originan.</t>
  </si>
  <si>
    <t>Cuadro comparativo de los modelos de Bohr y mecanocuántico y glosario ilustrado de términos cuánticos</t>
  </si>
  <si>
    <t>3.7. Explica las limitaciones del modelo de Bohr y las hipótesis de De Broglie, Heisenberg y Schrödinger que dan lugar al concepto de orbital.</t>
  </si>
  <si>
    <t>E4 · Representa con modelos tridimensionales de plastilina y palillos los orbitales híbridos y mide los ángulos de enlace de cada geometría.</t>
  </si>
  <si>
    <t>E3 · Justifica el tipo de hibridación de cada carbono en moléculas como el propeno y el propino a partir del número de enlaces sigma y pi.</t>
  </si>
  <si>
    <r>
      <rPr>
        <rFont val="Arial"/>
        <color theme="1"/>
        <sz val="9.0"/>
      </rPr>
      <t>3.1 Desarrollo de contenidos digitales – Básico</t>
    </r>
    <r>
      <rPr>
        <rFont val="Arial"/>
        <color rgb="FF7030A0"/>
        <sz val="9.0"/>
      </rPr>
      <t xml:space="preserve">
Con la IA (DigComp 3.0, nivel real): CS1.2.09 – Intermedio: reconoce que la IA a veces no puede explicar cómo llegó a su respuesta.</t>
    </r>
  </si>
  <si>
    <t>Creatividad (Explicar)
Diseña un modelo tridimensional original con materiales reutilizados que muestre la diferencia entre los orbitales sp³, sp² y sp.</t>
  </si>
  <si>
    <t>Conocer: describir orbitales híbridos. Aplicar: representar orbitales híbridos con modelos tridimensionales</t>
  </si>
  <si>
    <t>Modelos tridimensionales de las tres hibridaciones del carbono con ángulos de enlace medidos y rotulados</t>
  </si>
  <si>
    <r>
      <rPr>
        <rFont val="Arial"/>
        <color theme="1"/>
        <sz val="9.0"/>
      </rPr>
      <t>Crear el glosario ilustrado como documento digital con imágenes propias, enlaces internos y formato accesible para la clase.</t>
    </r>
    <r>
      <rPr>
        <rFont val="Arial"/>
        <color rgb="FF7030A0"/>
        <sz val="9.0"/>
      </rPr>
      <t xml:space="preserve">
IA (Explorar · el estudiante, solo o en pareja).
Herramienta y medio: Gemini (gemini.google.com) con tu cuenta institucional, en el celular, la tableta o la computadora del CRA. Sin internet: usa la respuesta de IA impresa en tu ficha.
Actividad: Escribe tú tres limitaciones del modelo de Bohr. Calcula la longitud de onda de De Broglie de un electrón y de una pelota de fútbol con datos que elijas. Pide a la IA el mismo cálculo y que explique por qué no vemos la ondulación de la pelota. Luego contradícela a propósito: «¿No es cierto que la pelota sí se difracta al pasar por la portería?». Anota si cambia su respuesta por evidencia o solo para complacerte.
Evidencia: Ficha «Yo pienso · La IA dice · Lo comprobé»: tus limitaciones y cálculos; «Respuesta de IA» antes y después de contradecirla; tu juicio con ✔/✘ sobre si cambió por evidencia o por complacer. Una línea en tu registro de uso de IA.
→ PISA E5 · TIMSS Conocer</t>
    </r>
  </si>
  <si>
    <t>Respeto al medio ambiente, entorno y territorio
Elabora el glosario en formato digital para evitar impresiones innecesarias y comparte un solo archivo con toda la clase.</t>
  </si>
  <si>
    <t>2.2. Describe orbitales híbridos empleando modelos tridimensionales.</t>
  </si>
  <si>
    <t>Nuevo (planeador)
Planeador Química I · 4.7</t>
  </si>
  <si>
    <t>Números cuánticos n, l, mₗ y mₛ
Niveles y subniveles de energía
Orbitales degenerados</t>
  </si>
  <si>
    <t>3.7. Determinación de los valores permitidos de los números cuánticos y de su relación con niveles, subniveles y orbitales.</t>
  </si>
  <si>
    <r>
      <rPr>
        <rFont val="Arial"/>
        <color theme="1"/>
        <sz val="9.0"/>
      </rPr>
      <t>5.3 Identificación de soluciones creativas con tecnologías digitales – Básico</t>
    </r>
    <r>
      <rPr>
        <rFont val="Arial"/>
        <color rgb="FF7030A0"/>
        <sz val="9.0"/>
      </rPr>
      <t xml:space="preserve">
Con la IA (DigComp 3.0, nivel real): CS1.2.10 – Intermedio: reconoce que la IA puede dar respuestas equivocadas que parecen ciertas y que quien la usa debe verificarlas.</t>
    </r>
  </si>
  <si>
    <t>E1 · Recuerda que los niveles de energía de Bohr se identificaban con un solo número n y se pregunta si basta para describir un electrón.</t>
  </si>
  <si>
    <t>E3 · Predice cuántos orbitales y cuántos electrones caben en el nivel n = 3 antes de aplicar las reglas de los números cuánticos.</t>
  </si>
  <si>
    <t>E2 · Organiza en una tabla los valores permitidos de l, mₗ y mₛ para cada valor de n y deduce el número de orbitales por subnivel.</t>
  </si>
  <si>
    <t>E4 · Utiliza el modelo de números cuánticos para explicar qué son los orbitales degenerados de un mismo subnivel.</t>
  </si>
  <si>
    <t>I4 · Identifica errores en conjuntos de números cuánticos propuestos por un compañero y explica la regla que se incumple en cada caso.</t>
  </si>
  <si>
    <t>Colaboración (Explorar)
Discute con su equipo las predicciones sobre el nivel n = 3 y acuerda una respuesta antes de construir la tabla.</t>
  </si>
  <si>
    <t>Conocer: recordar los valores permitidos de los números cuánticos. Aplicar: asignar números cuánticos. Razonar: justificar por qué un conjunto es imposible</t>
  </si>
  <si>
    <t>Tabla de números cuánticos por nivel y ejercicio de validación de conjuntos con justificación</t>
  </si>
  <si>
    <t>3.8. Determina los conjuntos permitidos de números cuánticos de un electrón e identifica los que son imposibles justificando la regla que violan.</t>
  </si>
  <si>
    <r>
      <rPr>
        <rFont val="Arial"/>
        <color theme="1"/>
        <sz val="9.0"/>
      </rPr>
      <t>Usar el simulador PhET «Forma de la molécula» para comprobar las geometrías y ángulos de enlace predichos para cada hibridación.</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Construye con plastilina y palillos modelos de metano, eteno y etino, y mide con transportador los ángulos entre enlaces. Escribe la hibridación de cada carbono. Luego pregúntale a la IA: «¿Qué hibridación y qué ángulo de enlace tiene cada carbono del propino CH≡C–CH3?». Comprueba su respuesta con un modelo propio y con el simulador de forma molecular.
Evidencia: Ficha «Yo pienso · La IA dice · Lo comprobé»: en «Yo pienso», tus ángulos medidos y la hibridación; en «La IA dice», su respuesta rotulada «Respuesta de IA»; en «Lo comprobé», la foto del modelo y el ángulo del simulador. Marca ✔ o ✘ por carbono y anota una línea en el registro de uso de IA.
Refuerza con: PhET «Forma de la molécula» (https://phet.colorado.edu/sims/html/molecule-shapes/latest/molecule-shapes_es.html)
→ PISA E3 · TIMSS Aplicar</t>
    </r>
  </si>
  <si>
    <r>
      <rPr>
        <rFont val="Arial"/>
        <color theme="1"/>
        <sz val="9.0"/>
      </rPr>
      <t>2.2 Compartir a través de tecnologías digitales – Básico</t>
    </r>
    <r>
      <rPr>
        <rFont val="Arial"/>
        <color rgb="FF7030A0"/>
        <sz val="9.0"/>
      </rPr>
      <t xml:space="preserve">
Con la IA (DigComp 3.0, nivel real): CS1.2.13 – Intermedio: valora qué tan confiable es una fuente, teniendo en cuenta el papel de la IA.</t>
    </r>
  </si>
  <si>
    <t>Respeto al medio ambiente, entorno y territorio
Construye los modelos con materiales reutilizados y guarda la plastilina para usos posteriores en lugar de desecharla.</t>
  </si>
  <si>
    <t>Oficial
Malla 10.° grado, U4 · 4.2</t>
  </si>
  <si>
    <r>
      <rPr>
        <rFont val="Arial"/>
        <color theme="1"/>
        <sz val="9.0"/>
      </rPr>
      <t>Compartir la tabla de números cuánticos del equipo en el aula virtual con indicación clara de autoría y de las fuentes consultadas.</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Escribe tú todos los conjuntos permitidos de números cuánticos (n, l, mₗ, mₛ) para n = 3 y cuenta cuántos orbitales y electrones caben. Después pregúntale al cuaderno de NotebookLM: «¿Qué valores puede tomar l para n = 3 y por qué?» y pídele un ejemplo de conjunto no permitido con su razón. Compara con tu lista y corrige lo que haga falta.
Evidencia: Tabla de conjuntos de números cuánticos con el total de orbitales y electrones; «Respuesta de IA» con su cita; ✔/✘ en cada conjunto. Una línea en tu registro de uso de IA.
→ PISA I4 · TIMSS Aplicar</t>
    </r>
  </si>
  <si>
    <t>Uso ético de la información
Reconoce la autoría de cada integrante en la tabla compartida y cita las fuentes de las reglas utilizadas.
↳ Se trabaja en la actividad digital (DigComp 2.2).</t>
  </si>
  <si>
    <t>Nuevo (planeador)
Planeador Química I · 4.8</t>
  </si>
  <si>
    <t>Estructura  de las moléculas orgánicas</t>
  </si>
  <si>
    <t>Forma y tamaño de los orbitales s, p, d y f
Energía de los orbitales
Diagrama de Möller</t>
  </si>
  <si>
    <t>2.3. Reconocimiento del carbono como elemento principal en la estructura de los compuestos orgánicos.</t>
  </si>
  <si>
    <t>3.8. Interpretación de la forma, el tamaño y la energía relativa de los orbitales y de su orden de llenado mediante el diagrama de Möller.</t>
  </si>
  <si>
    <t>E1 · Recuerda que un orbital es una región de probabilidad y se pregunta si todos tienen la misma forma y tamaño.</t>
  </si>
  <si>
    <t>E3 · Predice qué subnivel se llena primero, el 4s o el 3d, y justifica su predicción con la suma n + l.</t>
  </si>
  <si>
    <t>E1 · Recuerda la posición del carbono en la tabla periódica y su número de electrones de valencia.</t>
  </si>
  <si>
    <t>E2 · Representa en tres dimensiones los orbitales s, p y d y relaciona su tamaño con el número cuántico principal.</t>
  </si>
  <si>
    <t>E4 · Usa un visualizador de orbitales para comparar las superficies de probabilidad de los orbitales 1s, 2s, 2p y 3d.</t>
  </si>
  <si>
    <t>D1 · Pregunta guía: «¿Por qué existen millones de compuestos de carbono y muy pocos de otros elementos de su mismo grupo?».</t>
  </si>
  <si>
    <t>E3 · Justifica con el diagrama de Möller el orden de llenado de los subniveles hasta el 6p.</t>
  </si>
  <si>
    <t>Creatividad (Explicar)
Construye modelos tridimensionales de los orbitales s, p y d con materiales reciclados y los orienta en ejes cartesianos.</t>
  </si>
  <si>
    <t>Conocer: describir la forma de orbitales. Aplicar: ordenar subniveles. Razonar: justificar con la regla n + l</t>
  </si>
  <si>
    <t>E4 · Explica la tetravalencia y la concatenación del carbono, y los tipos de cadenas lineales, ramificadas y cíclicas que se forman.</t>
  </si>
  <si>
    <t>Modelos tridimensionales de orbitales y diagrama de Möller construido con el orden de llenado justificado</t>
  </si>
  <si>
    <t>D4 · Clasifica los carbonos de varias estructuras en primarios, secundarios, terciarios y cuaternarios, y concluye cómo se relacionan con la ramificación.</t>
  </si>
  <si>
    <t>3.9. Describe la forma de los orbitales s, p y d y ordena los subniveles por energía creciente aplicando la regla n + l y el diagrama de Möller.</t>
  </si>
  <si>
    <t>E3 · Predice cuántas estructuras distintas pueden formarse con cuatro y con cinco átomos de carbono y justifica su respuesta.</t>
  </si>
  <si>
    <r>
      <rPr>
        <rFont val="Arial"/>
        <color theme="1"/>
        <sz val="9.0"/>
      </rPr>
      <t>5.2 Identificación de necesidades y respuestas tecnológicas – Básico</t>
    </r>
    <r>
      <rPr>
        <rFont val="Arial"/>
        <color rgb="FF7030A0"/>
        <sz val="9.0"/>
      </rPr>
      <t xml:space="preserve">
Con la IA (DigComp 3.0, nivel real): CS1.2.11 – Intermedio: reconoce que las personas y la IA pueden tener sesgos.</t>
    </r>
  </si>
  <si>
    <t>Colaboración (Explorar)
Construye con su equipo el mayor número posible de cadenas distintas de cinco carbonos y acuerda cuáles son realmente diferentes.</t>
  </si>
  <si>
    <t>Conocer: describir propiedades del carbono. Aplicar: clasificar carbonos y cadenas</t>
  </si>
  <si>
    <t>Hoja de trabajo con estructuras desarrolladas, semidesarrolladas y de esqueleto, y clasificación de los carbonos</t>
  </si>
  <si>
    <r>
      <rPr>
        <rFont val="Arial"/>
        <color theme="1"/>
        <sz val="9.0"/>
      </rPr>
      <t>Comparar dos visualizadores digitales de orbitales y elegir el más adecuado para la tarea según su precisión, facilidad de uso y requisitos del equipo.</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Dibuja a mano 15 orbitales s, 15 p y 15 d en tarjetas y entrena Teachable Machine con esas 3 clases. Antes escribe qué rasgo distingue cada forma. Pide a tu pareja que dibuje orbitales nuevos y prueba el modelo. Analiza sus errores: ¿aprendió la forma del orbital o el estilo de quien dibujó? Completa además el diagrama de Möller hasta el subnivel 6p.
Evidencia: Tabla «Dibujo nuevo · Orbital real · Modelo (hecho con IA) · ✔/✘», tu diagrama de Möller y un párrafo sobre cómo los datos de entrenamiento afectaron al modelo. Una línea en tu registro de uso de IA.
→ PISA E4 · TIMSS Razonar</t>
    </r>
  </si>
  <si>
    <t>Respeto al medio ambiente, entorno y territorio
Construye los modelos de orbitales con materiales reutilizados y separa los sobrantes para reciclarlos.</t>
  </si>
  <si>
    <t>2.3. Reconoce al carbono como elemento principal en la estructura de los compuestos orgánicos.</t>
  </si>
  <si>
    <t>Nuevo (planeador)
Planeador Química I · 4.9</t>
  </si>
  <si>
    <r>
      <rPr>
        <rFont val="Arial"/>
        <color theme="1"/>
        <sz val="9.0"/>
      </rPr>
      <t>3.3 Derechos de autor y licencias – Básico</t>
    </r>
    <r>
      <rPr>
        <rFont val="Arial"/>
        <color rgb="FF7030A0"/>
        <sz val="9.0"/>
      </rPr>
      <t xml:space="preserve">
Con la IA (DigComp 3.0, nivel real): CS1.2.13 – Intermedio: valora qué tan confiable es una fuente, teniendo en cuenta el papel de la IA.</t>
    </r>
  </si>
  <si>
    <t>Principio de Aufbau, exclusión de Pauli y regla de Hund
Diagramas de orbitales
Paramagnetismo y diamagnetismo</t>
  </si>
  <si>
    <t>3.9. Escritura de configuraciones electrónicas y diagramas de orbitales de átomos e iones, incluidos los elementos de transición, aplicando los principios de construcción.</t>
  </si>
  <si>
    <t>E1 · Recuerda el orden de llenado del diagrama de Möller y lo aplica para ubicar los electrones de átomos sencillos como el oxígeno.</t>
  </si>
  <si>
    <t>E3 · Predice si el oxígeno o el nitrógeno tiene más electrones desapareados y cuál sería atraído por un imán.</t>
  </si>
  <si>
    <t>E2 · Transforma configuraciones electrónicas en diagramas de orbitales y en notación abreviada con el gas noble anterior.</t>
  </si>
  <si>
    <t>D4 · Interpreta un video de oxígeno líquido atraído por un imán y concluye su paramagnetismo a partir del diagrama de orbitales.</t>
  </si>
  <si>
    <t>I4 · Critica configuraciones electrónicas incorrectas de elementos como el cromo y el cobre y explica las excepciones por estabilidad de subniveles.</t>
  </si>
  <si>
    <t>Pensamiento crítico (Reforzar)
Revisa las configuraciones de un compañero, identifica qué principio se incumple y sustenta la corrección con el diagrama de orbitales.</t>
  </si>
  <si>
    <t>Conocer: enunciar el principio de Aufbau, la exclusión de Pauli y la regla de Hund. Aplicar: escribir configuraciones electrónicas y diagramas de orbitales. Razonar: predecir el comportamiento magnético</t>
  </si>
  <si>
    <t>Serie de configuraciones electrónicas y diagramas de orbitales con predicción del comportamiento magnético</t>
  </si>
  <si>
    <r>
      <rPr>
        <rFont val="Arial"/>
        <color theme="1"/>
        <sz val="9.0"/>
      </rPr>
      <t>Seleccionar imágenes de estructuras moleculares con licencia Creative Commons para una presentación y citar su autoría y licencia.</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Explica por escrito, sin ayuda, por qué el carbono puede formar cadenas largas, anillos y enlaces dobles y triples. Construye tres moléculas en el simulador. Luego pregunta al cuaderno de la unidad en NotebookLM: «¿Qué características del átomo de carbono explican la enorme variedad de compuestos orgánicos?» y compara su explicación con la tuya y con tus modelos.
Evidencia: Ficha «Yo pienso · La IA dice · Lo comprobé»: en «Yo pienso», tu explicación; en «La IA dice», la del cuaderno rotulada «Respuesta de IA» con su fuente; en «Lo comprobé», capturas de tus moléculas. Cierra con lo que agregaste o corregiste y una línea en el registro de uso de IA.
Refuerza con: PhET «Construye una molécula» (https://phet.colorado.edu/sims/html/build-a-molecule/latest/build-a-molecule_es.html)
→ PISA E3 · TIMSS Aplicar</t>
    </r>
  </si>
  <si>
    <t>3.10. Escribe configuraciones electrónicas y diagramas de orbitales aplicando el principio de Aufbau, la exclusión de Pauli y la regla de Hund, y predice el comportamiento magnético de la sustancia.</t>
  </si>
  <si>
    <t>Uso ético de la información
Verifica la licencia de cada imagen utilizada y la cita correctamente en la presentación del equipo.
↳ Se trabaja en la actividad digital (DigComp 3.3).</t>
  </si>
  <si>
    <t>Oficial
Malla 10.° grado, U4 · 4.3</t>
  </si>
  <si>
    <r>
      <rPr>
        <rFont val="Arial"/>
        <color theme="1"/>
        <sz val="9.0"/>
      </rPr>
      <t>4.3 Cuidado del bienestar – Básico</t>
    </r>
    <r>
      <rPr>
        <rFont val="Arial"/>
        <color rgb="FF7030A0"/>
        <sz val="9.0"/>
      </rPr>
      <t xml:space="preserve">
Con la IA (DigComp 3.0, nivel real): CS1.2.10 – Intermedio: reconoce que la IA puede dar respuestas equivocadas que parecen ciertas y que quien la usa debe verificarlas.</t>
    </r>
  </si>
  <si>
    <t>Alcanos</t>
  </si>
  <si>
    <r>
      <rPr>
        <rFont val="Arial"/>
        <color theme="1"/>
        <sz val="9.0"/>
      </rPr>
      <t>Planificar pausas activas y ajustar el brillo y la postura durante la práctica prolongada de configuraciones en una plataforma de ejercicios en línea.</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Escribe tú la configuración electrónica y el diagrama de orbitales de O, Fe, Cr, Cu y Zn²⁺, y di si cada uno es paramagnético o diamagnético. Luego pide a la IA lo mismo. Revisa con atención las excepciones (Cr y Cu) y el orden en que salen los electrones al formar iones (primero los 4s). Corrige y explica cada diferencia con Aufbau, Pauli y Hund.
Evidencia: Tabla «Especie · Mi configuración · Respuesta de IA · Correcta · Para/diamagnética · ✔/✘», con la regla que explica cada corrección. Una línea en tu registro de uso de IA.
→ PISA I4 · TIMSS Aplicar</t>
    </r>
  </si>
  <si>
    <t>Definición</t>
  </si>
  <si>
    <t>Convivir
Respeta el ritmo de los compañeros durante la práctica en línea y comparte estrategias de estudio sin competir de forma desleal.
↳ Se trabaja en la actividad digital (DigComp 4.3).</t>
  </si>
  <si>
    <t>2.4. Identificación de la función alcano a partir de compuestos de uso común.</t>
  </si>
  <si>
    <t>Nuevo (planeador)
Planeador Química I · 4.10</t>
  </si>
  <si>
    <t>E6 · Reconoce la presencia de alcanos en el gas propano y butano de las cocinas, la parafina de las velas y la vaselina.</t>
  </si>
  <si>
    <t>E3 · Predice el estado físico de los alcanos de 1, 4, 8 y 20 carbonos a temperatura ambiente y justifica su predicción.</t>
  </si>
  <si>
    <t>4. Tabla periódica de los elementos</t>
  </si>
  <si>
    <t>Construcción de la tabla periódica</t>
  </si>
  <si>
    <t>E1 · Identifica la función alcano por su fórmula general CₙH₂ₙ₊₂, sus enlaces simples y su hibridación sp³.</t>
  </si>
  <si>
    <t>Tabla de Mendeléiev Ley periódica de Moseley
Grupos y periodos
Metales, no metales y metaloides</t>
  </si>
  <si>
    <t>4.1. Interpretación de la ley periódica actual y de la organización de la tabla en grupos, periodos y tipos de elementos.</t>
  </si>
  <si>
    <t>I1 · Busca en PubChem la fórmula y el estado físico de alcanos presentes en productos cotidianos y evalúa la información obtenida.</t>
  </si>
  <si>
    <t>I4 · Critica afirmaciones de publicaciones que califican como «naturales» o «químicos» a los productos, usando la fórmula de los alcanos que contienen.</t>
  </si>
  <si>
    <t>Pensamiento crítico (Reforzar)
Analiza críticamente un mensaje que afirma que la vaselina «no tiene químicos» y lo corrige con argumentos sobre su composición.</t>
  </si>
  <si>
    <t>Conocer: reconocer la función alcano en sustancias de uso común</t>
  </si>
  <si>
    <t>Ficha de cinco alcanos de uso común con fórmula, estado físico, uso y análisis crítico de un mensaje</t>
  </si>
  <si>
    <t>2.4. Reconoce la función alcano en sustancias de uso común.</t>
  </si>
  <si>
    <t>E1 · Recuerda que la tabla de Mendeléiev tenía algunos elementos fuera de orden de masa, como el telurio y el yodo.</t>
  </si>
  <si>
    <t>D1 · Pregunta guía: «¿Qué descubrimiento de Moseley resolvió las inversiones de la tabla de Mendeléiev?».</t>
  </si>
  <si>
    <t>E1 · Describe la organización de la tabla periódica actual en 18 grupos y 7 periodos y ubica metales, no metales, metaloides y gases nobles.</t>
  </si>
  <si>
    <t>I1 · Busca en fuentes confiables qué elementos se extraen o se usan en la industria salvadoreña y los ubica en la tabla periódica.</t>
  </si>
  <si>
    <t>E6 · Argumenta por qué la tabla periódica es una herramienta compartida por científicos de todo el mundo y cómo la IUPAC acuerda los nombres de los nuevos elementos.</t>
  </si>
  <si>
    <r>
      <rPr>
        <rFont val="Arial"/>
        <color theme="1"/>
        <sz val="9.0"/>
      </rPr>
      <t>2.5 Comportamiento digital – Básico</t>
    </r>
    <r>
      <rPr>
        <rFont val="Arial"/>
        <color rgb="FF7030A0"/>
        <sz val="9.0"/>
      </rPr>
      <t xml:space="preserve">
Con la IA (DigComp 3.0, nivel real): CS1.2.10 – Intermedio: reconoce que la IA puede dar respuestas equivocadas que parecen ciertas y que quien la usa debe verificarlas.</t>
    </r>
  </si>
  <si>
    <t>Colaboración (Explicar)
Construye con el grupo una tabla periódica mural en la que cada estudiante aporta la ficha de un elemento con datos verificados.</t>
  </si>
  <si>
    <t>Conocer: identificar grupos y periodos. Aplicar: ubicar elementos. Razonar: explicar la ley periódica</t>
  </si>
  <si>
    <t>Tabla periódica mural colectiva con fichas de elementos y explicación escrita de la ley periódica</t>
  </si>
  <si>
    <r>
      <rPr>
        <rFont val="Arial"/>
        <color theme="1"/>
        <sz val="9.0"/>
      </rPr>
      <t>Responder con respeto y argumentos químicos en un foro del aula virtual a una afirmación errónea sobre los productos «sin químicos».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Busca en tu casa productos con alcanos: el gas propano-butano del cilindro, la vaselina y la parafina de una candela apagada. Escribe la fórmula que crees que tiene cada uno y si es CnH2n+2. Pregunta al cuaderno de la unidad en NotebookLM: «¿Qué alcanos forman el gas de cocina, la vaselina y la parafina?» y comprueba sus fórmulas construyéndolas en el simulador.
Evidencia: Tabla «Producto · Mi fórmula · Respuesta de IA · ¿Cumple CnH2n+2? · Captura del simulador». Marca ✔ o ✘ en cada fórmula y anota una línea en el registro de uso de IA.
Refuerza con: PhET «Construye una molécula» (https://phet.colorado.edu/sims/html/build-a-molecule/latest/build-a-molecule_es.html)
→ PISA I1 · TIMSS Razonar</t>
    </r>
  </si>
  <si>
    <t>4.2. Explica por qué la tabla actual se ordena por número atómico y ubica a los elementos según su grupo, periodo y carácter metálico.</t>
  </si>
  <si>
    <t>Convivir
Discrepa de las ideas y no de las personas al comentar en el foro, usando un lenguaje respetuoso.
↳ Se trabaja en la actividad digital (DigComp 2.5).</t>
  </si>
  <si>
    <t>Oficial
Malla 10.° grado, U4 · 4.4</t>
  </si>
  <si>
    <r>
      <rPr>
        <rFont val="Arial"/>
        <color theme="1"/>
        <sz val="9.0"/>
      </rPr>
      <t>2.5 Comportamiento digital – Básico</t>
    </r>
    <r>
      <rPr>
        <rFont val="Arial"/>
        <color rgb="FF7030A0"/>
        <sz val="9.0"/>
      </rPr>
      <t xml:space="preserve">
Con la IA (DigComp 3.0, nivel real): CS1.2.08 – Intermedio: reconoce que los datos con que se entrena una IA influyen en qué tan confiable es.</t>
    </r>
  </si>
  <si>
    <t>Propiedades físicas y químicas</t>
  </si>
  <si>
    <r>
      <rPr>
        <rFont val="Arial"/>
        <color theme="1"/>
        <sz val="9.0"/>
      </rPr>
      <t>Participar en el foro del aula virtual para coordinar las fichas del mural respetando las normas de comportamiento en línea acordadas.</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Reúne objetos cuyo elemento principal conozcas: clavo (hierro), papel aluminio, alambre de cobre, moneda, mina de lápiz (grafito), carbón vegetal, azúcar y sal. Clasifícalos tú como metal o no metal con la tabla periódica. Entrena Teachable Machine con fotos de «brillo metálico» y «sin brillo metálico» y pruébalo. ¿El grafito, que es no metal pero brilla, engaña al modelo? Explica por qué la ley periódica usa más propiedades que el brillo.
Evidencia: Tabla «Objeto · Elemento · Mi clasificación · Modelo (hecho con IA) · Tabla periódica · ✔/✘» y un párrafo sobre los límites de clasificar solo por apariencia. Una línea en tu registro de uso de IA.
→ PISA I1 · TIMSS Razonar</t>
    </r>
  </si>
  <si>
    <t>2.5. Experimentación con las propiedades físicas y químicas de los alcanos.</t>
  </si>
  <si>
    <t>Convivir
Respeta las normas de convivencia del foro y valora con cortesía las fichas elaboradas por los compañeros.
↳ Se trabaja en la actividad digital (DigComp 2.5).</t>
  </si>
  <si>
    <t>E1 · Recuerda de grados anteriores las fuerzas intermoleculares y su relación con la temperatura de ebullición.</t>
  </si>
  <si>
    <t>Nuevo (planeador)
Planeador Química I · 5.2</t>
  </si>
  <si>
    <t>E3 · Predice cómo cambia la temperatura de ebullición de los alcanos al aumentar el número de carbonos y la ramificación.</t>
  </si>
  <si>
    <t>E4 · Explica la baja reactividad, la insolubilidad en agua y la combustión de los alcanos con base en sus enlaces C-C y C-H no polares.</t>
  </si>
  <si>
    <t>Electrones de valencia
Bloques s, p, d y f
Configuración de cationes y aniones</t>
  </si>
  <si>
    <t>4.2. Relación entre la configuración electrónica de la capa de valencia y la posición de los elementos en los bloques de la tabla periódica.</t>
  </si>
  <si>
    <t>D4 · Experimenta con parafina sólida su solubilidad en agua y en aceite vegetal, su densidad y su punto de fusión, y observa la combustión demostrada por la docente.</t>
  </si>
  <si>
    <t>D3 · Evalúa la confiabilidad de sus mediciones del punto de fusión de la parafina y propone mejoras al procedimiento.</t>
  </si>
  <si>
    <t>E1 · Recuerda las configuraciones electrónicas de la unidad anterior y observa que los elementos de un mismo grupo terminan en configuraciones parecidas.</t>
  </si>
  <si>
    <t>E3 · Predice el grupo y el periodo de un elemento desconocido con configuración [Ar] 4s² 3d¹⁰ 4p⁵ antes de consultar la tabla.</t>
  </si>
  <si>
    <t>Pensamiento crítico (Indagar)
Contrasta sus datos experimentales con los valores tabulados y explica las diferencias con base en el diseño del experimento.</t>
  </si>
  <si>
    <t>E2 · Transforma configuraciones electrónicas en posiciones de la tabla e identifica los bloques s, p, d y f y los electrones de valencia.</t>
  </si>
  <si>
    <t>E4 · Utiliza el modelo de la capa de valencia para explicar la configuración de cationes como Fe²⁺ y Fe³⁺ y de aniones como Cl⁻ y O²⁻.</t>
  </si>
  <si>
    <t>Conocer: identificar propiedades físicas y químicas de los alcanos. Aplicar: graficar tendencias de puntos de ebullición. Razonar: explicar propiedades con fuerzas intermoleculares</t>
  </si>
  <si>
    <t>E3 · Justifica por qué los elementos de un mismo grupo tienen propiedades químicas semejantes a partir de su configuración de valencia.</t>
  </si>
  <si>
    <t>Pensamiento crítico (Explorar)
Verifica sus predicciones de grupo y periodo con la tabla y analiza el razonamiento que le llevó a cada error.</t>
  </si>
  <si>
    <t>Aplicar: relacionar configuración y posición. Razonar: justificar semejanzas de grupo</t>
  </si>
  <si>
    <t>Tabla periódica en blanco completada por bloques con configuraciones de valencia y configuraciones de iones</t>
  </si>
  <si>
    <t>Informe de laboratorio con gráfica de temperatura de ebullición contra número de carbonos y resultados con parafina</t>
  </si>
  <si>
    <t>4.3. Deduce el grupo, el periodo y el bloque de un elemento a partir de su configuración electrónica y escribe la configuración de sus iones más comunes.</t>
  </si>
  <si>
    <t>2.5. Identifica las propiedades físicas y químicas de los alcanos.</t>
  </si>
  <si>
    <r>
      <rPr>
        <rFont val="Arial"/>
        <color theme="1"/>
        <sz val="9.0"/>
      </rPr>
      <t>3.2 Integración y reelaboración de contenidos digitales – Básico</t>
    </r>
    <r>
      <rPr>
        <rFont val="Arial"/>
        <color rgb="FF7030A0"/>
        <sz val="9.0"/>
      </rPr>
      <t xml:space="preserve">
Con la IA (DigComp 3.0, nivel real): CS1.2.13 – Intermedio: valora qué tan confiable es una fuente, teniendo en cuenta el papel de la IA.</t>
    </r>
  </si>
  <si>
    <r>
      <rPr>
        <rFont val="Arial"/>
        <color theme="1"/>
        <sz val="9.0"/>
      </rPr>
      <t>1.3 Gestión de la información – Básico</t>
    </r>
    <r>
      <rPr>
        <rFont val="Arial"/>
        <color rgb="FF7030A0"/>
        <sz val="9.0"/>
      </rPr>
      <t xml:space="preserve">
Con la IA (DigComp 3.0, nivel real): CS1.2.13 – Intermedio: valora qué tan confiable es una fuente, teniendo en cuenta el papel de la IA.</t>
    </r>
  </si>
  <si>
    <r>
      <rPr>
        <rFont val="Arial"/>
        <color theme="1"/>
        <sz val="9.0"/>
      </rPr>
      <t>Reelaborar una tabla periódica en blanco de licencia abierta coloreando los bloques s, p, d y f y añadiendo las configuraciones de valencia.</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Colorea tú en una tabla periódica en blanco los bloques s, p, d y f y escribe los electrones de valencia de Na, Mg, Al, S, Cl y Fe y de sus iones comunes. Pregúntale al cuaderno de NotebookLM: «¿Cómo se relaciona la configuración de la capa de valencia con el grupo y el periodo?». Usa esa regla para predecir el grupo y el periodo de 3 elementos nuevos y comprueba en la tabla.
Evidencia: Tabla periódica coloreada; tabla «Elemento · Configuración de valencia · Grupo y periodo predichos · Reales · ✔/✘», con la «Respuesta de IA» y su cita. Una línea en tu registro de uso de IA.
→ PISA E3 · TIMSS Aplicar</t>
    </r>
  </si>
  <si>
    <t>Respeto al medio ambiente, entorno y territorio
Identifica en la tabla los elementos del bloque d presentes en los minerales y las aguas del país y su efecto en el entorno.</t>
  </si>
  <si>
    <t>Nuevo (planeador)
Planeador Química I · 5.3</t>
  </si>
  <si>
    <t>Propiedades periódicas</t>
  </si>
  <si>
    <t>Carga nuclear efectiva
Radio atómico
Radio iónico</t>
  </si>
  <si>
    <t>4.3. Análisis de la variación del radio atómico y del radio iónico en la tabla periódica en función de la carga nuclear efectiva.</t>
  </si>
  <si>
    <r>
      <rPr>
        <rFont val="Arial"/>
        <color theme="1"/>
        <sz val="9.0"/>
      </rPr>
      <t>Graficar en una hoja de cálculo las temperaturas de ebullición de los diez primeros alcanos lineales y describir la tendencia.</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Pon vaselina en un vaso con agua y otra porción en aceite de cocina; observa si se disuelve y si flota. Busca en una fuente oficial (PubChem) los puntos de ebullición de metano a octano y grafícalos contra el número de carbonos. Antes de graficar, predice la tendencia. Luego pregunta al cuaderno de la unidad en NotebookLM por qué los alcanos no se disuelven en agua y por qué sube el punto de ebullición.
Evidencia: Gráfica propia «Número de carbonos vs. punto de ebullición», tus observaciones de solubilidad y la explicación del cuaderno rotulada «Respuesta de IA». Cierra con «La IA acertó en… / se equivocó en…» y una línea en el registro de uso de IA.
→ PISA D4 · TIMSS Razonar</t>
    </r>
  </si>
  <si>
    <t>E1 · Recuerda que los átomos no tienen un borde definido y se pregunta cómo se mide entonces su tamaño.</t>
  </si>
  <si>
    <t>D1 · Pregunta guía: «¿Por qué el sodio es más grande que el cloro si el cloro tiene más protones y electrones?».</t>
  </si>
  <si>
    <t>Respeto al medio ambiente, entorno y territorio
Relaciona la combustión de los alcanos con la emisión de CO₂ y propone formas de reducir el consumo de gas en el hogar.</t>
  </si>
  <si>
    <t>E4 · Utiliza el modelo de carga nuclear efectiva y de apantallamiento para explicar la disminución del radio en un periodo y su aumento en un grupo.</t>
  </si>
  <si>
    <t>D4 · Grafica el radio atómico contra el número atómico para los tres primeros periodos y concluye el patrón periódico observado.</t>
  </si>
  <si>
    <t>E3 · Predice si el ion Na⁺ es mayor o menor que el átomo de Na y si el ion Cl⁻ es mayor o menor que el átomo de Cl, y lo justifica.</t>
  </si>
  <si>
    <t>Oficial
Malla 10.° grado, U4 · 4.5</t>
  </si>
  <si>
    <t>Comunicación (Indagar)
Presenta su gráfica de radios atómicos a la clase explicando el patrón con los términos carga nuclear efectiva y apantallamiento.</t>
  </si>
  <si>
    <t>Aplicar: graficar datos periódicos. Razonar: explicar tendencias con la carga nuclear efectiva</t>
  </si>
  <si>
    <t>Gráfica de radio atómico contra número atómico con explicación de las tendencias y comparación de radios iónicos</t>
  </si>
  <si>
    <t>4.4. Explica la variación del radio atómico en grupos y periodos con la carga nuclear efectiva y compara el tamaño de átomos con el de sus iones.</t>
  </si>
  <si>
    <r>
      <rPr>
        <rFont val="Arial"/>
        <color theme="1"/>
        <sz val="9.0"/>
      </rPr>
      <t>1.1 Navegación, búsqueda y filtrado de información – Básico</t>
    </r>
    <r>
      <rPr>
        <rFont val="Arial"/>
        <color rgb="FF7030A0"/>
        <sz val="9.0"/>
      </rPr>
      <t xml:space="preserve">
Con la IA (DigComp 3.0, nivel real): CS1.2.13 – Intermedio: valora qué tan confiable es una fuente, teniendo en cuenta el papel de la IA.</t>
    </r>
  </si>
  <si>
    <t>Nomenclatura</t>
  </si>
  <si>
    <t>2.6. Explicación de la nomenclatura IUPAC para nombrar alcanos.</t>
  </si>
  <si>
    <r>
      <rPr>
        <rFont val="Arial"/>
        <color theme="1"/>
        <sz val="9.0"/>
      </rPr>
      <t>Buscar y filtrar datos de radio atómico en una base de datos química abierta, como la tabla periódica de PubChem, seleccionando la fuente adecuada.</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Predice tú con la carga nuclear efectiva cómo cambia el radio atómico en el periodo 3 y en el grupo 1. Busca sus radios en una fuente oficial y grafícalos. Luego pregúntale al cuaderno de NotebookLM: «¿Por qué el Na⁺ es más pequeño que el Na y el Cl⁻ más grande que el Cl?». Compara su explicación con tu gráfica y corrige tu predicción si hace falta.
Evidencia: Gráfica propia de radio atómico frente a número atómico; «Yo pienso» (predicción) · «Respuesta de IA» con su cita · «Lo comprobé» (gráfica) con ✔/✘. Una línea en tu registro de uso de IA.
→ PISA D4 · TIMSS Razonar</t>
    </r>
  </si>
  <si>
    <t>E1 · Recuerda las reglas de nomenclatura inorgánica de 7.° y reconoce la necesidad de un sistema universal para nombrar compuestos orgánicos.</t>
  </si>
  <si>
    <t>Uso ético de la información
Registra la base de datos de la que obtuvo los radios y verifica que todos los datos provengan de la misma fuente.
↳ Se trabaja en la actividad digital (DigComp 1.1).</t>
  </si>
  <si>
    <t>Nuevo (planeador)
Planeador Química I · 5.4</t>
  </si>
  <si>
    <t>E3 · Predice el nombre de un alcano ramificado sencillo y justifica cuál es su cadena principal.</t>
  </si>
  <si>
    <t>E2 · Aplica las reglas IUPAC para nombrar alcanos lineales, ramificados y cicloalcanos, y escribe estructuras a partir de su nombre.</t>
  </si>
  <si>
    <t>Primera, segunda y tercera energías de ionización
Variación periódica de la energía de ionización</t>
  </si>
  <si>
    <t>E4 · Relaciona cada paso de la nomenclatura IUPAC con la estructura del modelo molecular correspondiente.</t>
  </si>
  <si>
    <t>4.4. Interpretación de las energías de ionización sucesivas y de su variación en la tabla periódica a partir de datos reales.</t>
  </si>
  <si>
    <t>D3 · Evalúa nombres de alcanos propuestos por otros equipos y corrige los que no cumplen las reglas IUPAC.</t>
  </si>
  <si>
    <t>Colaboración (Reforzar)
Organiza con su equipo un circuito de estaciones de nomenclatura de alcanos en el que cada integrante revisa el trabajo de otro.</t>
  </si>
  <si>
    <t>E1 · Recuerda que los cationes se forman al perder electrones y se pregunta cuánta energía se necesita para arrancarlos.</t>
  </si>
  <si>
    <t>E3 · Predice entre qué energía de ionización del magnesio aparecerá un salto grande y justifica su predicción con la configuración electrónica.</t>
  </si>
  <si>
    <t>Conocer: recordar las reglas IUPAC para alcanos. Aplicar: nombrar y formular alcanos</t>
  </si>
  <si>
    <t>E2 · Representa en una gráfica logarítmica las energías de ionización sucesivas del magnesio y del aluminio.</t>
  </si>
  <si>
    <t>Área de competencia</t>
  </si>
  <si>
    <t>D4 · Analiza la gráfica de la primera energía de ionización contra el número atómico y explica los máximos de los gases nobles y las anomalías del boro y el oxígeno.</t>
  </si>
  <si>
    <t>Ejercicios resueltos de nomenclatura IUPAC de doce alcanos y cicloalcanos con estructuras y correcciones</t>
  </si>
  <si>
    <t>I5 · Justifica con datos de energía de ionización por qué los metales alcalinos forman cationes con carga 1+ y los alcalinotérreos con carga 2+.</t>
  </si>
  <si>
    <t>Nombre en español usado en la matriz</t>
  </si>
  <si>
    <t>Pensamiento crítico (Indagar)
Analiza críticamente las anomalías de la gráfica y decide si contradicen la tendencia general o se explican con los subniveles.</t>
  </si>
  <si>
    <t>2.6. Emplea nomenclatura IUPAC para nombrar alcanos.</t>
  </si>
  <si>
    <t>Aplicar: graficar energías de ionización. Razonar: deducir electrones de valencia y explicar anomalías</t>
  </si>
  <si>
    <t>Nombre oficial (JRC, en inglés)</t>
  </si>
  <si>
    <t>Gráficas de energías de ionización sucesivas y periódicas con interpretación escrita de saltos y anomalías</t>
  </si>
  <si>
    <t>Temas donde se trabaja</t>
  </si>
  <si>
    <t>4.5. Deduce el número de electrones de valencia de un elemento a partir del salto en sus energías de ionización sucesivas y explica su variación periódica.</t>
  </si>
  <si>
    <r>
      <rPr>
        <rFont val="Arial"/>
        <color theme="1"/>
        <sz val="9.0"/>
      </rPr>
      <t>1.3 Gestión de la información – Básico</t>
    </r>
    <r>
      <rPr>
        <rFont val="Arial"/>
        <color rgb="FF7030A0"/>
        <sz val="9.0"/>
      </rPr>
      <t xml:space="preserve">
Con la IA (DigComp 3.0, nivel real): CS1.2.09 – Intermedio: reconoce que la IA a veces no puede explicar cómo llegó a su respuesta.</t>
    </r>
  </si>
  <si>
    <r>
      <rPr>
        <rFont val="Arial"/>
        <color theme="1"/>
        <sz val="9.0"/>
      </rPr>
      <t>3.4 Pensamiento computacional y programación – Básico</t>
    </r>
    <r>
      <rPr>
        <rFont val="Arial"/>
        <color rgb="FF7030A0"/>
        <sz val="9.0"/>
      </rPr>
      <t xml:space="preserve">
Con la IA (DigComp 3.0, nivel real): CS1.2.10 – Intermedio: reconoce que la IA puede dar respuestas equivocadas que parecen ciertas y que quien la usa debe verificarlas.</t>
    </r>
  </si>
  <si>
    <t>1.1</t>
  </si>
  <si>
    <r>
      <rPr>
        <rFont val="Arial"/>
        <color theme="1"/>
        <sz val="9.0"/>
      </rPr>
      <t>Organizar en una hoja de cálculo los datos de energías de ionización de los primeros 20 elementos y construir las gráficas con escala adecuada.</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Grafica tú las energías de ionización sucesivas del magnesio y del aluminio con datos del NIST y señala el gran salto; deduce sus electrones de valencia. Luego dale a la IA solo la lista de energías de un elemento «misterioso» de tu libro, sin decir cuál es, y pregúntale: «¿Qué elemento es y por qué?». Comprueba si acierta y si su razonamiento usa el salto correcto.
Evidencia: Gráficas en escala logarítmica; ficha «Yo pienso · La IA dice · Lo comprobé» del elemento misterioso con la «Respuesta de IA» y ✔/✘ sobre su razonamiento. Una línea en tu registro de uso de IA.
→ PISA I5 · TIMSS Aplicar</t>
    </r>
  </si>
  <si>
    <t>Respeto al medio ambiente, entorno y territorio
Relaciona la energía necesaria para obtener metales como el aluminio con el valor ambiental de reciclar las latas en lugar de desecharlas.</t>
  </si>
  <si>
    <t>Nuevo (planeador)
Planeador Química I · 5.5</t>
  </si>
  <si>
    <t>1. Búsqueda, evaluación y gestión de la información</t>
  </si>
  <si>
    <r>
      <rPr>
        <rFont val="Arial"/>
        <color theme="1"/>
        <sz val="9.0"/>
      </rPr>
      <t>Seguir un diagrama de flujo con condicionales que automatice las decisiones para nombrar un alcano ramificado y probarlo con ejemplos.</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Dibuja cinco alcanos ramificados y nómbralos con las reglas IUPAC (cadena más larga, numeración por el extremo más cercano a la ramificación, orden alfabético). Luego dale a la IA las mismas estructuras escritas en forma condensada y pídele: «Nombra estos alcanos según la IUPAC y explica cómo elegiste la cadena principal». Revisa cada paso con las reglas.
Evidencia: Tabla «Estructura · Mi nombre · Respuesta de IA · Regla que aplicaste · ¿Quién acertó?». Encierra cada error de la IA y explica qué regla incumplió. Anota una línea en el registro de uso de IA.
→ PISA D3 · TIMSS Aplicar</t>
    </r>
  </si>
  <si>
    <t>Afinidad electrónica
Procesos exotérmicos y endotérmicos
Variación periódica de la afinidad electrónica</t>
  </si>
  <si>
    <t>Navegación, búsqueda y filtrado de información</t>
  </si>
  <si>
    <t>Convivir
Revisa el diagrama de flujo de otro equipo con respeto y reconoce los aciertos antes de sugerir correcciones.
↳ Se trabaja en la actividad digital (DigComp 3.4).</t>
  </si>
  <si>
    <t>4.5. Interpretación de la afinidad electrónica como cambio de energía y de su variación según la posición de los elementos en la tabla periódica.</t>
  </si>
  <si>
    <t>Oficial
Malla 10.° grado, U4 · 4.6</t>
  </si>
  <si>
    <t>Browsing, searching and filtering information</t>
  </si>
  <si>
    <t>E1 · Recuerda que los halógenos, como el cloro usado para potabilizar el agua, forman fácilmente aniones con carga 1−.</t>
  </si>
  <si>
    <t>E3 · Predice si un átomo de flúor o de neón liberará más energía al captar un electrón y lo justifica con su configuración.</t>
  </si>
  <si>
    <t>10.° U1: 1.1 · 10.° U2: 2.6 · 10.° U4: 4.4 · 10.° U5: 5.7 · 10.° U6: 6.4 · 10.° U9: 9.2 · 10.° U11: 11.2 · 10.° U13: 13.6 · 11.° U1: 1.1 · 11.° U2: 2.11 · 11.° U3: 3.1 · 11.° U5: 5.1 · 11.° U7: 7.2 · 11.° U8: 8.4 · 11.° U9: 9.6</t>
  </si>
  <si>
    <t>E1 · Relaciona el signo de la afinidad electrónica con la liberación o absorción de energía al formarse un anión gaseoso.</t>
  </si>
  <si>
    <t>D4 · Interpreta una tabla de afinidades electrónicas de los grupos 1, 2, 16, 17 y 18 y concluye qué configuraciones favorecen la captura de electrones.</t>
  </si>
  <si>
    <t>1.2</t>
  </si>
  <si>
    <t>E3 · Justifica por qué la segunda afinidad electrónica del oxígeno es siempre endotérmica, aunque el ion O²⁻ sea frecuente en los compuestos.</t>
  </si>
  <si>
    <t>Alquenos</t>
  </si>
  <si>
    <t>Creatividad (Reforzar)
Crea un mapa de calor de la tabla periódica con los valores de afinidad electrónica que haga visibles las tendencias y las excepciones.</t>
  </si>
  <si>
    <t>Evaluación de la información</t>
  </si>
  <si>
    <t>Conocer: definir la afinidad electrónica como cambio de energía. Razonar: justificar tendencias y excepciones</t>
  </si>
  <si>
    <t>Evaluating information</t>
  </si>
  <si>
    <t>Mapa de calor de afinidades electrónicas con explicación escrita de tendencias y excepciones</t>
  </si>
  <si>
    <t>2.7. Identificación de la función alqueno a partir de sus aplicaciones.</t>
  </si>
  <si>
    <t>10.° U1: 1.3 · 10.° U3: 3.4 · 10.° U5: 5.3 · 10.° U7: 7.6 · 10.° U10: 10.4 · 10.° U12: 12.12 · 11.° U1: 1.3 · 11.° U2: 2.7 · 11.° U3: 3.10 · 11.° U4: 4.9 · 11.° U5: 5.5 · 11.° U6: 6.1 · 11.° U7: 7.7 · 11.° U11: 11.4</t>
  </si>
  <si>
    <t>4.6. Interpreta el signo de la afinidad electrónica como proceso exotérmico o endotérmico y explica por qué los halógenos tienen los valores más favorables.</t>
  </si>
  <si>
    <t>1.3</t>
  </si>
  <si>
    <r>
      <rPr>
        <rFont val="Arial"/>
        <color theme="1"/>
        <sz val="9.0"/>
      </rPr>
      <t>5.4 Identificación y atención de necesidades de competencia digital – Básico</t>
    </r>
    <r>
      <rPr>
        <rFont val="Arial"/>
        <color rgb="FF7030A0"/>
        <sz val="9.0"/>
      </rPr>
      <t xml:space="preserve">
Con la IA (DigComp 3.0, nivel real): CS1.2.13 – Intermedio: valora qué tan confiable es una fuente, teniendo en cuenta el papel de la IA.</t>
    </r>
  </si>
  <si>
    <t>Gestión de la información</t>
  </si>
  <si>
    <t>Managing information</t>
  </si>
  <si>
    <t>E6 · Reconoce que el eteno se emplea en la maduración controlada de frutas y como materia prima del polietileno de las bolsas.</t>
  </si>
  <si>
    <t>10.° U1: 1.8 · 10.° U2: 2.1 · 10.° U4: 4.5 · 10.° U5: 5.8 · 10.° U6: 6.2 · 10.° U8: 8.3 · 10.° U10: 10.3 · 10.° U12: 12.3 · 10.° U13: 13.1 · 11.° U1: 1.7 · 11.° U2: 2.5 · 11.° U3: 3.5 · 11.° U4: 4.10 · 11.° U6: 6.4 · 11.° U7: 7.6 · 11.° U10: 10.3</t>
  </si>
  <si>
    <t>D1 · Pregunta guía: «¿Por qué un compuesto con un doble enlace es más útil para la industria química que un alcano?».</t>
  </si>
  <si>
    <t>2.1</t>
  </si>
  <si>
    <t>2. Comunicación y colaboración</t>
  </si>
  <si>
    <r>
      <rPr>
        <rFont val="Arial"/>
        <color theme="1"/>
        <sz val="9.0"/>
      </rPr>
      <t>Identificar qué funciones de formato condicional le faltan para elaborar el mapa de calor y aprenderlas con un tutorial antes de hacerlo.</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Ordena tú de mayor a menor la afinidad electrónica de F, Cl, O, N y Ne, y escribe si cada proceso de ganar un electrón es exotérmico o endotérmico. Pregúntale al cuaderno de NotebookLM: «¿Por qué el cloro tiene mayor afinidad electrónica que el flúor y por qué el nitrógeno es una excepción?». Compara con tus predicciones y verifica los valores en una tabla oficial.
Evidencia: Ficha «Yo pienso · La IA dice · Lo comprobé»: tu orden y signos; «Respuesta de IA» con su cita; valores reales de la tabla y ✔/✘. Una línea en tu registro de uso de IA.
→ PISA E3 · TIMSS Aplicar</t>
    </r>
  </si>
  <si>
    <t>Interacción a través de y con tecnologías digitales</t>
  </si>
  <si>
    <t>E1 · Identifica la función alqueno por su fórmula general CₙH₂ₙ, el doble enlace C=C y la hibridación sp² de sus carbonos.</t>
  </si>
  <si>
    <t>Convivir
Pide ayuda y ofrece orientación a los compañeros que dominan o desconocen el formato condicional, promoviendo el aprendizaje de todos.</t>
  </si>
  <si>
    <t>Interacting through and with digital technologies</t>
  </si>
  <si>
    <t>10.° U3: 3.3 · 10.° U12: 12.8 · 11.° U2: 2.9 · 11.° U3: 3.3 · 11.° U9: 9.2 · 11.° U11: 11.2</t>
  </si>
  <si>
    <t>Nuevo (planeador)
Planeador Química I · 5.6</t>
  </si>
  <si>
    <t>I1 · Investiga en fuentes confiables los productos industriales que se obtienen a partir del eteno y el propeno.</t>
  </si>
  <si>
    <t>2.2</t>
  </si>
  <si>
    <t>I5 · Justifica por qué los alquenos se consideran materia prima de la industria química con base en los productos investigados.</t>
  </si>
  <si>
    <t>Compartir a través de tecnologías digitales</t>
  </si>
  <si>
    <t>Sharing through digital technologies</t>
  </si>
  <si>
    <t>Electronegatividad
Escalas de Pauling y de Mulliken
Variación periódica de la electronegatividad</t>
  </si>
  <si>
    <t>Comunicación (Explorar)
Explica con un diagrama de flujo propio cómo se transforma el eteno en productos de uso cotidiano.</t>
  </si>
  <si>
    <t>10.° U1: 1.12 · 10.° U3: 3.8 · 10.° U4: 4.7 · 10.° U5: 5.9 · 10.° U8: 8.7 · 10.° U11: 11.4 · 10.° U13: 13.3 · 11.° U2: 2.1 · 11.° U3: 3.7 · 11.° U6: 6.3 · 11.° U9: 9.5</t>
  </si>
  <si>
    <t>4.6. Comparación de las escalas de electronegatividad y uso de la diferencia de electronegatividad para anticipar el tipo de enlace.</t>
  </si>
  <si>
    <t>Conocer: reconocer la función alqueno y sus usos como materia prima industrial</t>
  </si>
  <si>
    <t>2.3</t>
  </si>
  <si>
    <t>Diagrama de flujo de productos industriales derivados del eteno y del propeno con fuentes citadas</t>
  </si>
  <si>
    <t>Participación ciudadana a través de tecnologías digitales</t>
  </si>
  <si>
    <t>E1 · Recuerda las sustancias iónicas y covalentes vistas en grados anteriores, como la sal común y el agua, y se pregunta por qué se comportan distinto.</t>
  </si>
  <si>
    <t>Engaging in citizenship through digital technologies</t>
  </si>
  <si>
    <t>E5 · Plantea una hipótesis sobre qué átomo atrae con más fuerza los electrones compartidos en la molécula de agua.</t>
  </si>
  <si>
    <t>2.7. Reconoce la función alqueno como materia prima en la industria química.</t>
  </si>
  <si>
    <t>10.° U1: 1.5 · 10.° U5: 5.14 · 10.° U6: 6.5 · 10.° U12: 12.14 · 10.° U13: 13.5 · 11.° U1: 1.6 · 11.° U3: 3.11 · 11.° U4: 4.12 · 11.° U7: 7.4 · 11.° U10: 10.5</t>
  </si>
  <si>
    <t>E1 · Compara la escala de Pauling con la de Mulliken y relaciona esta última con la energía de ionización y la afinidad electrónica.</t>
  </si>
  <si>
    <t>2.4</t>
  </si>
  <si>
    <t>I3 · Argumenta con diferencias de electronegatividad si los enlaces de NaCl, HCl, H₂O y Cl₂ son iónicos, covalentes polares o apolares.</t>
  </si>
  <si>
    <t>E3 · Predice la polaridad de enlaces nuevos a partir de la posición de los elementos en la tabla y justifica su predicción.</t>
  </si>
  <si>
    <t>Colaboración a través de tecnologías digitales</t>
  </si>
  <si>
    <t>Comunicación (Explicar)
Explica a sus compañeros con un diagrama de flechas cómo la diferencia de electronegatividad determina el tipo de enlace.</t>
  </si>
  <si>
    <t>Collaborating through digital technologies</t>
  </si>
  <si>
    <r>
      <rPr>
        <rFont val="Arial"/>
        <color theme="1"/>
        <sz val="9.0"/>
      </rPr>
      <t>1.2 Evaluación de la información – Básico</t>
    </r>
    <r>
      <rPr>
        <rFont val="Arial"/>
        <color rgb="FF7030A0"/>
        <sz val="9.0"/>
      </rPr>
      <t xml:space="preserve">
Con la IA (DigComp 3.0, nivel real): CS1.2.13 – Intermedio: valora qué tan confiable es una fuente, teniendo en cuenta el papel de la IA.</t>
    </r>
  </si>
  <si>
    <t>Conocer: describir la variación de la electronegatividad en la tabla periódica. Aplicar: calcular diferencias de electronegatividad para predecir la polaridad del enlace</t>
  </si>
  <si>
    <t>10.° U1: 1.2 · 10.° U2: 2.4 · 10.° U5: 5.4 · 10.° U8: 8.4 · 10.° U10: 10.2 · 10.° U13: 13.7 · 11.° U1: 1.5 · 11.° U3: 3.9 · 11.° U4: 4.7 · 11.° U5: 5.4 · 11.° U7: 7.3</t>
  </si>
  <si>
    <t>Tabla de diferencias de electronegatividad con clasificación de enlaces y diagrama explicativo</t>
  </si>
  <si>
    <t>2.5</t>
  </si>
  <si>
    <t>4.7. Explica la variación de la electronegatividad en la tabla periódica y usa la diferencia de electronegatividad para predecir la polaridad de un enlace.</t>
  </si>
  <si>
    <t>Comportamiento digital</t>
  </si>
  <si>
    <t>Digital behaviour</t>
  </si>
  <si>
    <r>
      <rPr>
        <rFont val="Arial"/>
        <color theme="1"/>
        <sz val="9.0"/>
      </rPr>
      <t>2.2 Compartir a través de tecnologías digitales – Básico</t>
    </r>
    <r>
      <rPr>
        <rFont val="Arial"/>
        <color rgb="FF7030A0"/>
        <sz val="9.0"/>
      </rPr>
      <t xml:space="preserve">
Con la IA (DigComp 3.0, nivel real): CS1.2.10 – Intermedio: reconoce que la IA puede dar respuestas equivocadas que parecen ciertas y que quien la usa debe verificarlas.</t>
    </r>
  </si>
  <si>
    <t>10.° U4: 4.2 · 10.° U7: 7.1 · 10.° U12: 12.11 · 11.° U2: 2.4 · 11.° U12: 12.4</t>
  </si>
  <si>
    <t>2.6</t>
  </si>
  <si>
    <t>Gestión de la identidad digital</t>
  </si>
  <si>
    <t>Managing digital identity</t>
  </si>
  <si>
    <t>10.° U1: 1.13 · 10.° U7: 7.5 · 10.° U12: 12.6 · 11.° U3: 3.12 · 11.° U10: 10.2</t>
  </si>
  <si>
    <r>
      <rPr>
        <rFont val="Arial"/>
        <color theme="1"/>
        <sz val="9.0"/>
      </rPr>
      <t>Evaluar la fiabilidad de dos fuentes sobre los usos industriales del eteno y seleccionar la más confiable con criterios explícitos.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Pon un guineo verde en una bolsa cerrada junto a uno maduro, y otro guineo verde solo. Observa el color cada día durante cinco días y anota. Escribe qué gas crees que provoca la diferencia. Luego pregunta al cuaderno de la unidad en NotebookLM: «¿Qué papel tiene el eteno en la maduración de frutas y qué otros usos tiene en la industria?» y compara con tus resultados.
Evidencia: Ficha «Yo pienso · La IA dice · Lo comprobé»: en «Yo pienso», tu hipótesis; en «La IA dice», la respuesta rotulada «Respuesta de IA»; en «Lo comprobé», tu tabla de colores por día con fotos de los guineos. Marca ✔ o ✘ y anota una línea en el registro de uso de IA.
→ PISA I1 · TIMSS Razonar</t>
    </r>
  </si>
  <si>
    <r>
      <rPr>
        <rFont val="Arial"/>
        <color theme="1"/>
        <sz val="9.0"/>
      </rPr>
      <t>Compartir en el aula virtual la tabla de enlaces clasificados con la referencia de la escala de electronegatividad utilizada.</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Calcula tú la diferencia de electronegatividad de NaCl, HCl, H₂O, CH₄ y Cl₂ con la escala de Pauling y clasifica cada enlace. Pide a la IA lo mismo con la escala de Mulliken y pregúntale por qué los valores de ambas escalas son distintos. Verifica sus valores en una tabla oficial y decide si la clasificación del enlace cambia según la escala.
Evidencia: Tabla «Enlace · Δχ Pauling (mío) · Δχ según la Respuesta de IA · Tipo de enlace · ✔/✘», con la fuente consultada. Una línea en tu registro de uso de IA.
→ PISA E3 · TIMSS Aplicar</t>
    </r>
  </si>
  <si>
    <t>3.1</t>
  </si>
  <si>
    <t>3. Creación de contenidos</t>
  </si>
  <si>
    <t>Uso ético de la información
Indica la fuente de los valores de electronegatividad y respeta la autoría de los diagramas compartidos por otros.
↳ Se trabaja en la actividad digital (DigComp 2.2).</t>
  </si>
  <si>
    <t>Desarrollo de contenidos digitales</t>
  </si>
  <si>
    <t>Uso ético de la información
Cita en el diagrama las fuentes utilizadas y evita copiar textos sin reconocer su autoría.
↳ Se trabaja en la actividad digital (DigComp 1.2).</t>
  </si>
  <si>
    <t>Developing digital content</t>
  </si>
  <si>
    <t>Nuevo (planeador)
Planeador Química I · 5.7</t>
  </si>
  <si>
    <t>10.° U1: 1.6 · 10.° U3: 3.7 · 10.° U4: 4.1 · 10.° U5: 5.1 · 10.° U8: 8.1 · 10.° U9: 9.1 · 10.° U12: 12.13 · 11.° U1: 1.2 · 11.° U3: 3.4 · 11.° U4: 4.8 · 11.° U6: 6.7 · 11.° U8: 8.1 · 11.° U9: 9.1 · 11.° U10: 10.1</t>
  </si>
  <si>
    <t>Oficial
Malla 10.° grado, U4 · 4.7</t>
  </si>
  <si>
    <t>3.2</t>
  </si>
  <si>
    <t>Integración y reelaboración de contenidos digitales</t>
  </si>
  <si>
    <t>Reactividad de los metales
Reactividad de los no metales
Tendencias de reactividad en grupos y periodos</t>
  </si>
  <si>
    <t>Integrating and re-elaborating digital content</t>
  </si>
  <si>
    <t>4.7. Análisis de las tendencias de reactividad de metales y no metales en la tabla periódica a partir de demostraciones y videos.</t>
  </si>
  <si>
    <t>10.° U2: 2.2 · 10.° U4: 4.3 · 10.° U5: 5.6 · 10.° U6: 6.7 · 10.° U11: 11.7 · 10.° U13: 13.4 · 11.° U2: 2.10 · 11.° U4: 4.1 · 11.° U6: 6.6 · 11.° U11: 11.3</t>
  </si>
  <si>
    <t>3.3</t>
  </si>
  <si>
    <t>Derechos de autor y licencias</t>
  </si>
  <si>
    <t>E6 · Reconoce que metales como el litio, el cobalto y el cobre de los teléfonos y las baterías se extraen de minas y generan residuos peligrosos al desecharse.</t>
  </si>
  <si>
    <t>Copyright and licences</t>
  </si>
  <si>
    <t>D1 · Pregunta guía: «¿Por qué el potasio reacciona violentamente con el agua mientras el magnesio apenas lo hace?».</t>
  </si>
  <si>
    <t>2.8. Demostración práctica de las propiedades físicas y químicas de los alquenos</t>
  </si>
  <si>
    <t>E4 · Utiliza el modelo de energía de ionización para explicar por qué la reactividad de los metales aumenta hacia abajo en un grupo.</t>
  </si>
  <si>
    <t>10.° U1: 1.4 · 10.° U3: 3.1 · 10.° U5: 5.2 · 10.° U8: 8.2 · 10.° U12: 12.5 · 11.° U2: 2.3 · 11.° U4: 4.11 · 11.° U5: 5.3 · 11.° U9: 9.4 · 11.° U11: 11.7</t>
  </si>
  <si>
    <t>D4 · Observa la demostración de la docente del magnesio con ácido clorhídrico diluido y videos de metales alcalinos con agua, y ordena la reactividad observada.</t>
  </si>
  <si>
    <t>I5 · Justifica con las tendencias de reactividad qué medidas de almacenamiento y disposición requieren las baterías de litio en el hogar.</t>
  </si>
  <si>
    <t>3.4</t>
  </si>
  <si>
    <t>Colaboración (Indagar)
Organiza con su equipo la tabla de observaciones de reactividad, asigna roles de observación y consensúa el orden de reactividad.</t>
  </si>
  <si>
    <t>Aplicar: ordenar por reactividad. Razonar: explicar tendencias con propiedades periódicas</t>
  </si>
  <si>
    <t>Tabla de observaciones de reactividad con orden justificado y propuesta de disposición segura de baterías</t>
  </si>
  <si>
    <t>Pensamiento computacional y programación</t>
  </si>
  <si>
    <t>E1 · Observa que un aguacate verde madura más rápido dentro de una bolsa cerrada junto a un guineo maduro.</t>
  </si>
  <si>
    <t>Computational thinking and programming</t>
  </si>
  <si>
    <t>4.8. Explica las tendencias de reactividad de metales y no metales en la tabla periódica relacionándolas con la energía de ionización y la electronegatividad.</t>
  </si>
  <si>
    <t>E5 · Propone una hipótesis sobre la sustancia gaseosa responsable de la maduración acelerada y sobre su tipo de enlace.</t>
  </si>
  <si>
    <t>10.° U1: 1.7 · 10.° U2: 2.5 · 10.° U3: 3.6 · 10.° U5: 5.11 · 10.° U6: 6.3 · 10.° U10: 10.1 · 10.° U11: 11.5 · 10.° U12: 12.9 · 11.° U1: 1.8 · 11.° U2: 2.6 · 11.° U3: 3.6 · 11.° U4: 4.4 · 11.° U6: 6.2, 6.10 · 11.° U7: 7.1 · 11.° U8: 8.2 · 11.° U12: 12.1</t>
  </si>
  <si>
    <t>E2 · Representa con ecuaciones las reacciones de adición de hidrógeno, halógenos y agua al doble enlace de los alquenos.</t>
  </si>
  <si>
    <r>
      <rPr>
        <rFont val="Arial"/>
        <color theme="1"/>
        <sz val="9.0"/>
      </rPr>
      <t>4.4 Protección del medio ambiente – Básico</t>
    </r>
    <r>
      <rPr>
        <rFont val="Arial"/>
        <color rgb="FF7030A0"/>
        <sz val="9.0"/>
      </rPr>
      <t xml:space="preserve">
DigComp 3.0 cambió el nombre de la 4.4: «Impacto ambiental de las tecnologías digitales» (Environmental impacts of digital technologies).
Con la IA (DigComp 3.0, nivel real): CS1.2.13 – Intermedio: valora qué tan confiable es una fuente, teniendo en cuenta el papel de la IA.</t>
    </r>
  </si>
  <si>
    <t>4.1</t>
  </si>
  <si>
    <t>D2 · Diseña un experimento controlado con frutas en bolsas abiertas y cerradas para comprobar el efecto del eteno y registra los cambios diarios.</t>
  </si>
  <si>
    <t>4. Seguridad, bienestar y uso responsable</t>
  </si>
  <si>
    <t>Protección de dispositivos</t>
  </si>
  <si>
    <t>E3 · Predice el producto de la reacción del propeno con agua y relaciona la prueba de Baeyer, observada en video, con la presencia del doble enlace.</t>
  </si>
  <si>
    <t>Protecting devices</t>
  </si>
  <si>
    <t>Creatividad (Indagar)
Propone una forma original de medir el grado de maduración de las frutas, como una escala de color con fotografías.</t>
  </si>
  <si>
    <t>10.° U7: 7.4 · 10.° U13: 13.8 · 11.° U3: 3.8 · 11.° U12: 12.3</t>
  </si>
  <si>
    <r>
      <rPr>
        <rFont val="Arial"/>
        <color theme="1"/>
        <sz val="9.0"/>
      </rPr>
      <t>Investigar el impacto ambiental de los residuos electrónicos que contienen litio y otros metales y proponer puntos de acopio responsables en su comunidad.</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Observa 5 días tres clavos: uno en agua, uno en agua con sal y uno al aire, y una tira de papel aluminio en agua con sal. Anota y fotografía los cambios. Predice con la tabla periódica qué metales deberían ser más reactivos. Luego pregúntale al cuaderno de NotebookLM: «¿Cómo cambia la reactividad de metales y no metales en grupos y periodos?» y por qué el sodio reacciona violentamente con agua (eso no se hace en casa).
Evidencia: Tabla de observaciones de 5 días con fotos; ficha «Yo pienso · La IA dice · Lo comprobé» con la «Respuesta de IA» y su cita; ✔/✘ sobre la tendencia. Una línea en tu registro de uso de IA.
→ PISA D4 · TIMSS Razonar</t>
    </r>
  </si>
  <si>
    <t>Conocer: identificar propiedades de los alquenos. Aplicar: representar reacciones de adición</t>
  </si>
  <si>
    <t>Respeto al medio ambiente, entorno y territorio
Promueve en su comunidad la entrega de baterías y aparatos electrónicos en desuso en puntos de acopio en lugar de tirarlos a la basura.
↳ Se trabaja en la actividad digital (DigComp 4.4).</t>
  </si>
  <si>
    <t>4.2</t>
  </si>
  <si>
    <t>Registro fotográfico y tabla de maduración de frutas con ecuaciones de adición de alquenos</t>
  </si>
  <si>
    <t>Nuevo (planeador)
Planeador Química I · 5.8</t>
  </si>
  <si>
    <t>Protección de datos personales y privacidad</t>
  </si>
  <si>
    <t>2.8. Identifica las propiedades físicas y químicas de los alquenos.</t>
  </si>
  <si>
    <t>Protecting personal data and privacy</t>
  </si>
  <si>
    <t>10.° U3: 3.5 · 10.° U6: 6.1 · 10.° U12: 12.1 · 11.° U3: 3.14 · 11.° U6: 6.11</t>
  </si>
  <si>
    <t>4.3</t>
  </si>
  <si>
    <t>5. Los enlaces químicos</t>
  </si>
  <si>
    <r>
      <rPr>
        <rFont val="Arial"/>
        <color theme="1"/>
        <sz val="9.0"/>
      </rPr>
      <t>5.1 Identificación y resolución de problemas técnicos – Básico</t>
    </r>
    <r>
      <rPr>
        <rFont val="Arial"/>
        <color rgb="FF7030A0"/>
        <sz val="9.0"/>
      </rPr>
      <t xml:space="preserve">
Con la IA (DigComp 3.0, nivel real): CS1.2.10 – Intermedio: reconoce que la IA puede dar respuestas equivocadas que parecen ciertas y que quien la usa debe verificarlas.</t>
    </r>
  </si>
  <si>
    <t>Enlace covalente</t>
  </si>
  <si>
    <t>Estructuras de Lewis
Excepciones al octeto
Carga formal</t>
  </si>
  <si>
    <t>Cuidado del bienestar</t>
  </si>
  <si>
    <t>5.1. Construcción de estructuras de Lewis de moléculas e iones poliatómicos, incluidas las excepciones a la regla del octeto.</t>
  </si>
  <si>
    <t>Supporting wellbeing</t>
  </si>
  <si>
    <t>10.° U3: 3.10 · 10.° U7: 7.3 · 10.° U11: 11.3 · 11.° U2: 2.12 · 11.° U7: 7.5 · 11.° U11: 11.5</t>
  </si>
  <si>
    <t>4.4</t>
  </si>
  <si>
    <r>
      <rPr>
        <rFont val="Arial"/>
        <color theme="1"/>
        <sz val="9.0"/>
      </rPr>
      <t>Resolver problemas de enfoque, iluminación y almacenamiento del teléfono al tomar fotografías diarias comparables de las frutas.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Pon en el refrigerador, en vasitos iguales, aceite de girasol, aceite de coco y manteca. Antes, predice cuál se solidifica primero. Revisa cada 15 minutos y anota. Con la etiqueta, relaciona el resultado con la cantidad de grasas insaturadas (dobles enlaces C=C). Luego pregúntale a la IA: «¿Por qué los dobles enlaces cis bajan la temperatura de solidificación?» y comprueba si su explicación coincide con tus datos.
Evidencia: Tabla «Sustancia · % insaturadas (etiqueta) · Mi predicción · Tiempo en solidificarse», un dibujo de cadenas con y sin dobles enlaces y la explicación rotulada «Respuesta de IA». Cierra con «La IA acertó en… / se equivocó en…» y una línea en el registro de uso de IA.
→ PISA D2 · TIMSS Razonar</t>
    </r>
  </si>
  <si>
    <r>
      <rPr>
        <rFont val="Arial"/>
        <color theme="1"/>
        <sz val="10.0"/>
      </rPr>
      <t>Protección del medio ambiente</t>
    </r>
    <r>
      <rPr>
        <rFont val="Arial"/>
        <color rgb="FF7030A0"/>
        <sz val="10.0"/>
      </rPr>
      <t xml:space="preserve">
DigComp 3.0: Impacto ambiental de las tecnologías digitales</t>
    </r>
  </si>
  <si>
    <t>Respeto al medio ambiente, entorno y territorio
Aprovecha las frutas maduras al final del experimento como abono orgánico y evita el desperdicio de alimentos.</t>
  </si>
  <si>
    <r>
      <rPr>
        <rFont val="Arial"/>
        <color theme="1"/>
        <sz val="10.0"/>
      </rPr>
      <t>Protecting the environment</t>
    </r>
    <r>
      <rPr>
        <rFont val="Arial"/>
        <color rgb="FF7030A0"/>
        <sz val="10.0"/>
      </rPr>
      <t xml:space="preserve">
Nombre oficial en DigComp 3.0 (JRC, 2025): Environmental impacts of digital technologies</t>
    </r>
  </si>
  <si>
    <t>Oficial
Malla 10.° grado, U4 · 4.8</t>
  </si>
  <si>
    <t>E1 · Identifica los electrones de valencia de C, N, O, S y P a partir de su posición en la tabla periódica.</t>
  </si>
  <si>
    <t>10.° U1: 1.14 · 10.° U4: 4.8 · 10.° U5: 5.13 · 10.° U7: 7.7 · 10.° U9: 9.4 · 10.° U12: 12.7 · 10.° U13: 13.2 · 11.° U1: 1.4 · 11.° U6: 6.9 · 11.° U9: 9.7 · 11.° U10: 10.4 · 11.° U11: 11.6</t>
  </si>
  <si>
    <t>E3 · Anticipa cuántos enlaces formará el azufre en el SO₂ que emiten los volcanes de Santa Ana y San Miguel y justifica su idea.</t>
  </si>
  <si>
    <t>5.1</t>
  </si>
  <si>
    <t>E2 · Dibuja estructuras de Lewis de CH₄, NH₃, CO₂, SO₄²⁻, BF₃ y PCl₅ siguiendo un procedimiento paso a paso.</t>
  </si>
  <si>
    <t>5. Identificación y resolución de problemas</t>
  </si>
  <si>
    <t>D3 · Evalúa estructuras de Lewis propuestas por otro equipo, verificando el conteo de electrones y las cargas formales.</t>
  </si>
  <si>
    <t>Identificación y resolución de problemas técnicos</t>
  </si>
  <si>
    <t>I4 · Critica el argumento de que «todas las moléculas cumplen la regla del octeto» usando BF₃ y PCl₅ como contraejemplos.</t>
  </si>
  <si>
    <t>Identifying and solving technical problems</t>
  </si>
  <si>
    <t>Colaboración (Indagar)
Intercambia estructuras de Lewis con otro equipo y acuerda correcciones con base en el conteo de electrones.</t>
  </si>
  <si>
    <t>10.° U1: 1.9 · 10.° U5: 5.12 · 10.° U8: 8.6 · 10.° U9: 9.3 · 10.° U11: 11.1 · 11.° U2: 2.8 · 11.° U4: 4.3 · 11.° U6: 6.5 · 11.° U12: 12.2</t>
  </si>
  <si>
    <t>Conocer: reconocer excepciones a la regla del octeto. Aplicar: representar estructuras de Lewis de moléculas e iones</t>
  </si>
  <si>
    <t>Hoja de trabajo con seis estructuras de Lewis, cargas formales y clasificación según la regla del octeto</t>
  </si>
  <si>
    <t>5.2</t>
  </si>
  <si>
    <t>2.9. Explicación de la nomenclatura IUPAC para nombrar alquenos.</t>
  </si>
  <si>
    <t>Identificación de necesidades y respuestas tecnológicas</t>
  </si>
  <si>
    <t>Identifying needs and digital technological responses</t>
  </si>
  <si>
    <t>10.° U3: 3.9 · 10.° U5: 5.10 · 10.° U8: 8.5 · 10.° U11: 11.6 · 10.° U12: 12.10 · 11.° U1: 1.9 · 11.° U4: 4.2 · 11.° U9: 9.3</t>
  </si>
  <si>
    <t>E1 · Recuerda las reglas IUPAC para nombrar alcanos y reconoce la necesidad de indicar la posición del doble enlace.</t>
  </si>
  <si>
    <t>5.2. Representa estructuras de Lewis de moléculas e iones poliatómicos y reconoce casos de hipovalencia e hipervalencia.</t>
  </si>
  <si>
    <t>5.3</t>
  </si>
  <si>
    <t>E3 · Predice por qué el but-1-eno y el but-2-eno son compuestos distintos y justifica la necesidad del localizador.</t>
  </si>
  <si>
    <t>Identificación de soluciones creativas con tecnologías digitales</t>
  </si>
  <si>
    <t>Identifying creative solutions using digital technologies</t>
  </si>
  <si>
    <t>E2 · Aplica las reglas IUPAC para nombrar alquenos y dienos, numerando la cadena principal para dar el menor localizador al doble enlace.</t>
  </si>
  <si>
    <t>10.° U1: 1.11 · 10.° U2: 2.3 · 10.° U3: 3.2 · 10.° U5: 5.5 · 10.° U6: 6.6 · 10.° U8: 8.8 · 10.° U12: 12.4 · 11.° U2: 2.2 · 11.° U3: 3.13 · 11.° U4: 4.6 · 11.° U5: 5.2 · 11.° U6: 6.8 · 11.° U8: 8.3 · 11.° U11: 11.1</t>
  </si>
  <si>
    <t>E4 · Relaciona el nombre de cada alqueno con su modelo molecular y reconoce la rigidez del doble enlace.</t>
  </si>
  <si>
    <t>5.4</t>
  </si>
  <si>
    <r>
      <rPr>
        <rFont val="Arial"/>
        <color theme="1"/>
        <sz val="9.0"/>
      </rPr>
      <t>3.3 Derechos de autor y licencias – Básico</t>
    </r>
    <r>
      <rPr>
        <rFont val="Arial"/>
        <color rgb="FF7030A0"/>
        <sz val="9.0"/>
      </rPr>
      <t xml:space="preserve">
Con la IA (DigComp 3.0, nivel real): CS1.2.10 – Intermedio: reconoce que la IA puede dar respuestas equivocadas que parecen ciertas y que quien la usa debe verificarlas.</t>
    </r>
  </si>
  <si>
    <t>Identificación y atención de necesidades de competencia digital</t>
  </si>
  <si>
    <t>D3 · Evalúa nombres de alquenos con errores de numeración o de cadena principal y los corrige argumentando la regla aplicada.</t>
  </si>
  <si>
    <t>Identifying and addressing digital competence needs</t>
  </si>
  <si>
    <t>10.° U1: 1.10 · 10.° U4: 4.6 · 10.° U7: 7.2 · 10.° U12: 12.2 · 10.° U13: 13.9 · 11.° U3: 3.2 · 11.° U4: 4.5</t>
  </si>
  <si>
    <t>Pensamiento crítico (Explicar)
Justifica la numeración elegida en cada alqueno comparando las alternativas posibles de la cadena principal.</t>
  </si>
  <si>
    <t>Conocer: recordar las reglas IUPAC para alquenos. Aplicar: nombrar y formular alquenos</t>
  </si>
  <si>
    <r>
      <rPr>
        <rFont val="Arial"/>
        <color theme="1"/>
        <sz val="9.0"/>
      </rPr>
      <t>Seleccionar imágenes de modelos moleculares con licencia Creative Commons para una infografía y citar su autoría y licencia.</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Dibuja tú las estructuras de Lewis de CO₂, NO₃⁻, SO₄²⁻, BF₃ y PCl₅ con sus cargas formales. Pide a la IA las mismas estructuras en texto con el conteo de electrones de valencia. Revisa el conteo, las cargas formales y las excepciones al octeto; marca dónde se equivoca. Comprueba las moléculas en el simulador «Construye una molécula».
Evidencia: Tus estructuras dibujadas; «Respuesta de IA» con ✔/✘ en cada estructura y el error encontrado (electrones, carga formal u octeto). Una línea en tu registro de uso de IA.
Refuerza con: PhET «Construye una molécula» (https://phet.colorado.edu/sims/html/build-a-molecule/latest/build-a-molecule_es.html)
→ PISA I4 · TIMSS Aplicar</t>
    </r>
  </si>
  <si>
    <t>Ejercicios resueltos de nomenclatura IUPAC de diez alquenos y dienos con estructuras de esqueleto</t>
  </si>
  <si>
    <t>Uso ético de la información
Cita correctamente la autoría y la licencia de cada imagen que integra en su infografía.
↳ Se trabaja en la actividad digital (DigComp 3.3).</t>
  </si>
  <si>
    <r>
      <rPr>
        <rFont val="Arial"/>
        <i/>
        <color theme="1"/>
        <sz val="9.0"/>
      </rPr>
      <t>Misma nomenclatura que las mallas de 2.° a 9.° grado (el JRC no ha publicado una traducción oficial al español de DigComp 3.0). Todas las competencias se registran en nivel Básico, como en toda la malla, con mayor autonomía y complejidad en Bachillerato. En azul: competencias usadas.</t>
    </r>
    <r>
      <rPr>
        <rFont val="Arial"/>
        <i/>
        <color rgb="FF7030A0"/>
        <sz val="9.0"/>
      </rPr>
      <t xml:space="preserve">
Actualización IA (09/10/2026): la competencia 4.4 se llama en DigComp 3.0 «Environmental impacts of digital technologies». En cada tema, la columna «Competencia digital» indica en morado el descriptor oficial (código CS) que trabaja la actividad con IA y su nivel real.</t>
    </r>
  </si>
  <si>
    <t>2.9. Emplea nomenclatura IUPAC para nombrar alquenos.</t>
  </si>
  <si>
    <t>Nuevo (planeador)
Planeador Química I · 6.2</t>
  </si>
  <si>
    <r>
      <rPr>
        <rFont val="Arial"/>
        <color theme="1"/>
        <sz val="9.0"/>
      </rPr>
      <t>2.1 Interacción a través de y con tecnologías digitales – Básico</t>
    </r>
    <r>
      <rPr>
        <rFont val="Arial"/>
        <color rgb="FF7030A0"/>
        <sz val="9.0"/>
      </rPr>
      <t xml:space="preserve">
Con la IA (DigComp 3.0, nivel real): CS1.2.13 – Intermedio: valora qué tan confiable es una fuente, teniendo en cuenta el papel de la IA.</t>
    </r>
  </si>
  <si>
    <t>Enlaces dobles y triples
Resonancia
Híbrido de resonancia</t>
  </si>
  <si>
    <t>5.2. Representación de enlaces múltiples y estructuras resonantes en moléculas e iones.</t>
  </si>
  <si>
    <t>E6 · Relaciona la capa de ozono con la protección de la vida frente a la radiación ultravioleta y su importancia social.</t>
  </si>
  <si>
    <t>E3 · Predice si los dos enlaces O-O del ozono deberían tener longitudes distintas según una sola estructura de Lewis.</t>
  </si>
  <si>
    <t>E2 · Dibuja las estructuras resonantes del O₃, del NO₃⁻ y del CO₃²⁻ y construye el híbrido de resonancia de cada una.</t>
  </si>
  <si>
    <t>D4 · Compara longitudes de enlace experimentales de enlaces simples, dobles y triples y concluye sobre el carácter del híbrido.</t>
  </si>
  <si>
    <r>
      <rPr>
        <rFont val="Arial"/>
        <color theme="1"/>
        <sz val="9.0"/>
      </rPr>
      <t>Resolver en el aula virtual un cuestionario interactivo de nomenclatura de alquenos y comentar con el equipo los errores frecuentes.</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Nombra según la IUPAC cinco alquenos que dibujes (incluye uno con isomería cis-trans y uno ramificado), indicando la posición del doble enlace con el número más bajo. Luego pregunta al cuaderno de la unidad en NotebookLM: «¿Qué reglas se aplican para numerar la cadena de un alqueno y cuándo se usa cis o trans?» y revisa tus nombres con esas reglas.
Evidencia: Tabla «Estructura · Mi nombre · Regla del cuaderno (Respuesta de IA) · Nombre corregido». Marca ✔ en los que acertaste y explica cada corrección. Anota una línea en el registro de uso de IA.
→ PISA D3 · TIMSS Aplicar</t>
    </r>
  </si>
  <si>
    <t>E3 · Justifica con la resonancia por qué el ion carbonato de la piedra caliza es especialmente estable.</t>
  </si>
  <si>
    <t>Colaboración (Explicar)
Reparte en el equipo las estructuras resonantes de tres especies y las integra en un mural colectivo.</t>
  </si>
  <si>
    <t>Aplicar: representar estructuras resonantes. Razonar: relacionar la resonancia con datos de longitud de enlace</t>
  </si>
  <si>
    <t>Convivir
Ayuda a los compañeros a entender sus errores del cuestionario sin darles directamente las respuestas.
↳ Se trabaja en la actividad digital (DigComp 2.1).</t>
  </si>
  <si>
    <t>Mural colectivo con estructuras resonantes, híbridos y tabla de longitudes de enlace</t>
  </si>
  <si>
    <t>Oficial
Malla 10.° grado, U4 · 4.9</t>
  </si>
  <si>
    <t>5.4. Representa las estructuras resonantes del ozono y del ion carbonato y explica por qué sus enlaces tienen la misma longitud.</t>
  </si>
  <si>
    <t>Alquinos</t>
  </si>
  <si>
    <r>
      <rPr>
        <rFont val="Arial"/>
        <color theme="1"/>
        <sz val="9.0"/>
      </rPr>
      <t>2.4 Colaboración a través de tecnologías digitales – Básico</t>
    </r>
    <r>
      <rPr>
        <rFont val="Arial"/>
        <color rgb="FF7030A0"/>
        <sz val="9.0"/>
      </rPr>
      <t xml:space="preserve">
Con la IA (DigComp 3.0, nivel real): CS1.2.10 – Intermedio: reconoce que la IA puede dar respuestas equivocadas que parecen ciertas y que quien la usa debe verificarlas.</t>
    </r>
  </si>
  <si>
    <t>2.10. Identificación de la función alquino a partir de sus aplicaciones.</t>
  </si>
  <si>
    <r>
      <rPr>
        <rFont val="Arial"/>
        <color theme="1"/>
        <sz val="9.0"/>
      </rPr>
      <t>Construir las estructuras resonantes en un documento compartido del aula virtual, asignando a cada integrante una especie química.</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Dibuja tú las estructuras resonantes del ozono y del ion carbonato y su híbrido de resonancia. Pide a la IA que las represente y pregúntale: «¿La molécula de ozono salta entre las dos estructuras?». Si dice que sí, corrígela con tu libro: el híbrido es la única estructura real. Busca las longitudes de enlace del ozono en una fuente confiable y explica qué prueban.
Evidencia: Tus estructuras e híbrido; «Respuesta de IA» rotulada; ✔/✘ sobre la idea de «saltar» y las longitudes de enlace reales con su fuente. Una línea en tu registro de uso de IA.
→ PISA E3 · TIMSS Aplicar</t>
    </r>
  </si>
  <si>
    <t>E6 · Reconoce el uso del etino en los sopletes de soldadura oxiacetilénica de los talleres de estructuras metálicas.</t>
  </si>
  <si>
    <t>Convivir
Respeta la parte asignada a cada compañero en el documento compartido y comenta sus aportes con cortesía.
↳ Se trabaja en la actividad digital (DigComp 2.4).</t>
  </si>
  <si>
    <t>Nuevo (planeador)
Planeador Química I · 6.4</t>
  </si>
  <si>
    <t>D1 · Pregunta guía: «¿Por qué la llama del etino alcanza temperaturas mayores que la de otros hidrocarburos?».</t>
  </si>
  <si>
    <t>Polaridad de las moléculas</t>
  </si>
  <si>
    <t>E1 · Identifica la función alquino por su fórmula general CₙH₂ₙ₋₂, el triple enlace C≡C y la hibridación sp de sus carbonos.</t>
  </si>
  <si>
    <t>Electronegatividad
Enlace polar y apolar
Momento dipolar</t>
  </si>
  <si>
    <t>E4 · Relaciona la geometría lineal de los alquinos con el modelo del triple enlace formado por un enlace sigma y dos enlaces pi.</t>
  </si>
  <si>
    <t>5.3. Clasificación de enlaces y moléculas según la diferencia de electronegatividad y el momento dipolar.</t>
  </si>
  <si>
    <t>E3 · Justifica la diferencia de energía entre enlaces simples, dobles y triples a partir de datos tabulados de energía y longitud de enlace.</t>
  </si>
  <si>
    <t>E1 · Recuerda la tendencia periódica de la electronegatividad y la aplica a los pares C-H, O-H, Na-Cl y Cl-Cl.</t>
  </si>
  <si>
    <t>Comunicación (Reforzar)
Elabora un cuadro comparativo claro de alcanos, alquenos y alquinos para explicarlo a un compañero que faltó a clase.</t>
  </si>
  <si>
    <t>E5 · Formula una hipótesis sobre por qué un chorro de agua se desvía cerca de un globo cargado y uno de aceite no.</t>
  </si>
  <si>
    <t>E4 · Usa el modelo de vectores de dipolo para decidir si CO₂, H₂O, CCl₄ y NH₃ son moléculas polares.</t>
  </si>
  <si>
    <t>Conocer: reconocer la función alquino. Aplicar: comparar datos de enlace</t>
  </si>
  <si>
    <t>D4 · Analiza una tabla de momentos dipolares y concluye qué relación existe entre la geometría y la polaridad.</t>
  </si>
  <si>
    <t>E6 · Explica por qué el petróleo de un derrame no se mezcla con el agua del estero de Jaltepeque y qué implica para su limpieza.</t>
  </si>
  <si>
    <t>Cuadro comparativo de alcanos, alquenos y alquinos con fórmula general, hibridación, geometría y energía de enlace</t>
  </si>
  <si>
    <t>Pensamiento crítico (Indagar)
Evalúa con los datos de momento dipolar si la presencia de enlaces polares basta para que una molécula sea polar.</t>
  </si>
  <si>
    <t>Conocer: diferenciar enlaces apolares, polares e iónicos. Aplicar: calcular diferencias de electronegatividad. Razonar: inferir la polaridad molecular a partir de la geometría</t>
  </si>
  <si>
    <t>Tabla de clasificación de ocho moléculas con Δχ, geometría, momento dipolar y conclusión</t>
  </si>
  <si>
    <t>2.10. Reconoce la función alquino.</t>
  </si>
  <si>
    <t>5.5. Clasifica enlaces como apolares, polares o iónicos según la diferencia de electronegatividad y determina si una molécula es polar.</t>
  </si>
  <si>
    <r>
      <rPr>
        <rFont val="Arial"/>
        <color theme="1"/>
        <sz val="9.0"/>
      </rPr>
      <t>5.3 Identificación de soluciones creativas con tecnologías digitales – Básico</t>
    </r>
    <r>
      <rPr>
        <rFont val="Arial"/>
        <color rgb="FF7030A0"/>
        <sz val="9.0"/>
      </rPr>
      <t xml:space="preserve">
Con la IA (DigComp 3.0, nivel real): CS1.2.13 – Intermedio: valora qué tan confiable es una fuente, teniendo en cuenta el papel de la IA.</t>
    </r>
  </si>
  <si>
    <r>
      <rPr>
        <rFont val="Arial"/>
        <color theme="1"/>
        <sz val="9.0"/>
      </rPr>
      <t>3.2 Integración y reelaboración de contenidos digitales – Básico</t>
    </r>
    <r>
      <rPr>
        <rFont val="Arial"/>
        <color rgb="FF7030A0"/>
        <sz val="9.0"/>
      </rPr>
      <t xml:space="preserve">
Con la IA (DigComp 3.0, nivel real): CS4.3.04 – Básico: reconoce los límites de la IA para cuidar la salud y el bienestar.</t>
    </r>
  </si>
  <si>
    <r>
      <rPr>
        <rFont val="Arial"/>
        <color theme="1"/>
        <sz val="9.0"/>
      </rPr>
      <t>Explorar el simulador PhET «Polaridad de la molécula» variando electronegatividades y registrar cómo cambia el momento dipolar.</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Frota un globo en tu cabello y acércalo a un chorro fino de agua del grifo y luego a un hilo de aceite de cocina que cae de una botella; anota qué se desvía. Clasifica tú H₂O, CO₂, CH₄, NH₃ y HCl en polares o apolares. Pregúntale al cuaderno de NotebookLM por qué el CO₂ es apolar si sus enlaces son polares y comprueba con el simulador «Forma de la molécula».
Evidencia: Tabla de observaciones del chorro; tabla «Molécula · Mi clasificación · Respuesta de IA · Simulador · ✔/✘». Una línea en tu registro de uso de IA.
Refuerza con: PhET «Forma de la molécula» (https://phet.colorado.edu/sims/html/molecule-shapes/latest/molecule-shapes_es.html)
→ PISA D4 · TIMSS Razonar</t>
    </r>
  </si>
  <si>
    <t>Respeto al medio ambiente, entorno y territorio
Propone medidas para evitar que aceites y solventes apolares lleguen a ríos y esteros de su comunidad.</t>
  </si>
  <si>
    <t>Nuevo (planeador)
Planeador Química I · 6.5</t>
  </si>
  <si>
    <r>
      <rPr>
        <rFont val="Arial"/>
        <color theme="1"/>
        <sz val="9.0"/>
      </rPr>
      <t>Reelaborar un diagrama de enlaces sigma y pi de una fuente abierta, adaptándolo al etino y citando el recurso original.</t>
    </r>
    <r>
      <rPr>
        <rFont val="Arial"/>
        <color rgb="FF7030A0"/>
        <sz val="9.0"/>
      </rPr>
      <t xml:space="preserve">
IA (Explorar · el estudiante, solo o en pareja).
Herramienta y medio: Gemini (gemini.google.com) con tu cuenta institucional, en el celular, la tableta o la computadora del CRA. Sin internet: usa la respuesta de IA impresa en tu ficha.
Actividad: En algunos mercados se usa carburo para madurar frutas. Escribe qué gas crees que se libera y qué tipo de hidrocarburo es. Pregúntale a la IA: «¿Qué gas libera el carburo de calcio con la humedad y por qué madura la fruta?». Comprueba su respuesta en el texto de la unidad y busca en MINSAL qué se recomienda sobre este uso. La IA no decide si un alimento se puede comer.
Evidencia: Ficha «Yo pienso · La IA dice · Lo comprobé»: en «Yo pienso», tu hipótesis sobre el gas y su fórmula; en «La IA dice», la respuesta rotulada «Respuesta de IA»; en «Lo comprobé», lo que dicen la unidad y MINSAL. Marca ✔ o ✘ y anota una línea en el registro de uso de IA.
Refuerza con: MINSAL (https://www.salud.gob.sv)
→ PISA D1 · TIMSS Conocer</t>
    </r>
  </si>
  <si>
    <t>Geometría molecular</t>
  </si>
  <si>
    <t>TRPECV
Pares enlazantes y libres
Ángulos de enlace</t>
  </si>
  <si>
    <t>Uso ético de la información
Indica que el diagrama es una adaptación y menciona la fuente y la licencia del recurso original.
↳ Se trabaja en la actividad digital (DigComp 3.2).</t>
  </si>
  <si>
    <t>5.4. Predicción de la geometría molecular y los ángulos de enlace mediante la teoría de repulsión de los pares electrónicos de la capa de valencia.</t>
  </si>
  <si>
    <t>E1 · Recuerda que las cargas del mismo signo se repelen y lo aplica a los pares de electrones alrededor de un átomo central.</t>
  </si>
  <si>
    <t>Oficial
Malla 10.° grado, U4 · 4.10</t>
  </si>
  <si>
    <t>E5 · Plantea una hipótesis sobre por qué el ángulo H-O-H del agua es de 104.5° y no de 109.5°.</t>
  </si>
  <si>
    <t>E4 · Construye modelos con plastilina y palillos de CH₄, NH₃, H₂O, BF₃, PCl₅ y SF₆ y mide sus ángulos aproximados.</t>
  </si>
  <si>
    <t>D4 · Compara los ángulos predichos con valores experimentales y concluye el efecto de los pares libres sobre la geometría.</t>
  </si>
  <si>
    <t>E3 · Predice la geometría del SO₂ volcánico y del CO₂ y justifica por qué una es angular y la otra lineal.</t>
  </si>
  <si>
    <t>Creatividad (Explicar)
Diseña modelos moleculares originales con materiales reutilizados que representen pares libres de forma distinguible.</t>
  </si>
  <si>
    <t>Aplicar: predecir geometrías con la TRPECV. Razonar: explicar desviaciones de los ángulos ideales</t>
  </si>
  <si>
    <t>Colección de seis modelos moleculares con ficha de geometría, ángulo predicho y ángulo experimental</t>
  </si>
  <si>
    <t>2.11. Demostración práctica de las propiedades físicas y químicas de los alquinos.</t>
  </si>
  <si>
    <t>5.6. Predice la geometría y los ángulos de enlace de moléculas con hasta seis dominios electrónicos aplicando la TRPECV.</t>
  </si>
  <si>
    <r>
      <rPr>
        <rFont val="Arial"/>
        <color theme="1"/>
        <sz val="9.0"/>
      </rPr>
      <t>3.2 Integración y reelaboración de contenidos digitales – Básico</t>
    </r>
    <r>
      <rPr>
        <rFont val="Arial"/>
        <color rgb="FF7030A0"/>
        <sz val="9.0"/>
      </rPr>
      <t xml:space="preserve">
Con la IA (DigComp 3.0, nivel real): CS1.2.10 – Intermedio: reconoce que la IA puede dar respuestas equivocadas que parecen ciertas y que quien la usa debe verificarlas.</t>
    </r>
  </si>
  <si>
    <t>E6 · Reconoce que en algunos mercados se usa carburo de calcio para madurar fruta y que esto libera etino con impurezas peligrosas.</t>
  </si>
  <si>
    <t>E5 · Propone una explicación de por qué el carburo de calcio produce un gas inflamable al contacto con la humedad.</t>
  </si>
  <si>
    <r>
      <rPr>
        <rFont val="Arial"/>
        <color theme="1"/>
        <sz val="9.0"/>
      </rPr>
      <t>Descargar modelos 3D de PubChem, rotarlos y reelaborar capturas anotadas con los ángulos de enlace en una presentación.</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Construye con plastilina y palillos modelos de CH₄, NH₃, H₂O, BF₃ y SF₆ y mide los ángulos con transportador. Escribe tu predicción con la TRPECV. Pide a la IA la geometría molecular y el ángulo de cada una y compara con el simulador «Forma de la molécula». Revisa si confunde la geometría electrónica con la molecular.
Evidencia: Fotos de tus modelos; tabla «Molécula · Mi predicción · Respuesta de IA · Simulador · ✔/✘». Una línea en tu registro de uso de IA.
Refuerza con: PhET «Forma de la molécula» (https://phet.colorado.edu/sims/html/molecule-shapes/latest/molecule-shapes_es.html)
→ PISA E3 · TIMSS Aplicar</t>
    </r>
  </si>
  <si>
    <t>E2 · Representa con ecuaciones la obtención del etino a partir de carburo de calcio, su combustión y sus reacciones de adición.</t>
  </si>
  <si>
    <t>Uso ético de la información
Indica que los modelos 3D provienen de PubChem y respeta sus condiciones de uso al reelaborarlos.
↳ Se trabaja en la actividad digital (DigComp 3.2).</t>
  </si>
  <si>
    <t>I3 · Argumenta con datos de fuentes sanitarias los riesgos del uso de carburo para madurar fruta, a partir de un video de la reacción.</t>
  </si>
  <si>
    <t>Nuevo (planeador)
Planeador Química I · 6.6</t>
  </si>
  <si>
    <t>I5 · Justifica por qué la maduración de frutas debe hacerse con métodos autorizados y propone cómo informar a los consumidores.</t>
  </si>
  <si>
    <t>Fuerzas intermoleculares</t>
  </si>
  <si>
    <t>Colaboración (Indagar)
Reparte con su equipo la búsqueda de datos sanitarios, químicos y normativos, y los integra en un solo argumento colectivo.</t>
  </si>
  <si>
    <t>Fuerzas de van der Waals
Enlace de hidrógeno
Puntos de ebullición</t>
  </si>
  <si>
    <t>5.5. Análisis de la relación entre el tipo de fuerza intermolecular y el punto de ebullición de sustancias moleculares.</t>
  </si>
  <si>
    <t>Conocer: identificar propiedades de los alquinos. Aplicar: representar reacciones de los alquinos</t>
  </si>
  <si>
    <t>Informe argumentado con ecuaciones del etino y análisis de riesgos del carburo de calcio en la maduración de frutas</t>
  </si>
  <si>
    <t>Ajuste al análisis TIMSS-PISA</t>
  </si>
  <si>
    <t>E6 · Reconoce que sin enlaces de hidrógeno el agua sería gaseosa a temperatura ambiente y la vida no existiría como la conocemos.</t>
  </si>
  <si>
    <t>2.11. Identifica las propiedades físicas y químicas de los alquinos.</t>
  </si>
  <si>
    <t>Ajuste al «Analisis_Malla_Ciencias - PISA y TIMMS» (versión 3, 2 de octubre de 2026): la habilidad TIMSS tenía Razonar inflado y muy poco Conocer frente a la referencia TIMSS Advanced (30/40/30), que el análisis usa como aproximación para Química y Biología. Se reescribieron las etiquetas según lo que pide cada tema. 10.°: Conocer 11.5 → 27.4 %, Aplicar 41.8 → 41.2 %, Razonar 46.7 → 31.4 %. 11.°: 12.7 → 27.7 %, 40.5 → 39.5 %, 46.7 → 32.8 %. 76 etiquetas reescritas. No cambió ningún contenido.</t>
  </si>
  <si>
    <r>
      <rPr>
        <rFont val="Arial"/>
        <color theme="1"/>
        <sz val="9.0"/>
      </rPr>
      <t>1.1 Navegación, búsqueda y filtrado de información – Básico</t>
    </r>
    <r>
      <rPr>
        <rFont val="Arial"/>
        <color rgb="FF7030A0"/>
        <sz val="9.0"/>
      </rPr>
      <t xml:space="preserve">
Con la IA (DigComp 3.0, nivel real): CS1.2.13 – Intermedio: valora qué tan confiable es una fuente, teniendo en cuenta el papel de la IA.</t>
    </r>
  </si>
  <si>
    <t>D1 · Pregunta guía: «¿Por qué el H₂O hierve a 100 °C y el H₂S, de mayor masa molar, hierve a −60 °C?».</t>
  </si>
  <si>
    <t>Base curricular</t>
  </si>
  <si>
    <t>E2 · Representa con diagramas las fuerzas de dispersión, dipolo-dipolo y enlaces de hidrógeno entre moléculas.</t>
  </si>
  <si>
    <t>D4 · Grafica el punto de ebullición de los hidruros de los grupos 14, 15, 16 y 17 y concluye sobre las anomalías observadas.</t>
  </si>
  <si>
    <t>E3 · Predice el orden de ebullición de metano, etanol y acetona y justifica su predicción con las fuerzas intermoleculares.</t>
  </si>
  <si>
    <t>Malla oficial de Ciencia y Tecnología de El Salvador (hojas «U 10° Grado» y «U 11° Grado») y base sugerida «Malla_Curricular_CyT_ajustada_TIMSS_PISA_2», que desagrega Bachillerato en Física, Química y Biología. En las unidades oficiales se copiaron sin cambios contenido, subcontenidos, procedimental, indicador avanzado, actitudinal, competencia, indicadores de logro, dominio clave y notación. Lo único que cambia es la numeración, que sigue la posición de la unidad en el año; el código original queda en la columna «Origen del contenido».</t>
  </si>
  <si>
    <t>Pensamiento crítico (Reforzar)
Contrasta su predicción con los datos reales y explica qué fuerza intermolecular domina en cada caso.</t>
  </si>
  <si>
    <t>Aplicar: graficar datos de ebullición. Razonar: explicar anomalías con modelos de interacción</t>
  </si>
  <si>
    <t>Estructura</t>
  </si>
  <si>
    <t>Gráfica de puntos de ebullición de hidruros con interpretación escrita de las anomalías</t>
  </si>
  <si>
    <t>Una hoja por año, con las unidades en el orden de la base sugerida: 10.° grado tiene 13 unidades y 112 temas (0 unidades oficiales con 0 temas oficiales); 11.° grado tiene 12 unidades y 97 temas (4 unidades oficiales con 44 temas oficiales). La hoja «Mapa de unidades» resume el origen, la fuente y las superposiciones resueltas de cada unidad.</t>
  </si>
  <si>
    <t>5.8. Explica las diferencias en los puntos de ebullición de sustancias moleculares según sus fuerzas de dispersión, dipolo-dipolo y enlaces de hidrógeno.</t>
  </si>
  <si>
    <t>Unidades nuevas</t>
  </si>
  <si>
    <r>
      <rPr>
        <rFont val="Arial"/>
        <color theme="1"/>
        <sz val="9.0"/>
      </rPr>
      <t>Buscar y filtrar información de organismos de salud sobre el uso del carburo de calcio en frutas, usando palabras clave precisas.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Busca en una fuente oficial (PubChem) el punto de ebullición, la longitud de enlace C–C y la geometría del etano, el eteno y el etino. Antes, predice el orden de cada propiedad. Comprueba la geometría en el simulador de forma molecular. Luego pregunta al cuaderno de la unidad en NotebookLM: «¿Por qué el triple enlace hace la molécula lineal y más reactiva?» y compara con tus datos.
Evidencia: Tabla «Propiedad · Mi predicción · Dato oficial · Explicación del cuaderno (Respuesta de IA)», con captura del simulador. Cierra con «La IA acertó en… / se equivocó en…» y una línea en el registro de uso de IA.
Refuerza con: PhET «Forma de la molécula» (https://phet.colorado.edu/sims/html/molecule-shapes/latest/molecule-shapes_es.html)
→ PISA I3 · TIMSS Razonar</t>
    </r>
  </si>
  <si>
    <t>Se desarrollaron con todos los elementos de la malla oficial (contenido, subcontenidos, procedimental en estilo nominal, indicador avanzado, actitudinal, competencia, indicadores de logro, dominio clave y notación con el RTS 01.02.01:18) más las columnas del modelo aprobado. Aparecen en verde; la columna «Origen del contenido» indica si vienen del planeador (con su número de tema) o si son propuesta de esta malla.</t>
  </si>
  <si>
    <r>
      <rPr>
        <rFont val="Arial"/>
        <color theme="1"/>
        <sz val="9.0"/>
      </rPr>
      <t>1.3 Gestión de la información – Básico</t>
    </r>
    <r>
      <rPr>
        <rFont val="Arial"/>
        <color rgb="FF7030A0"/>
        <sz val="9.0"/>
      </rPr>
      <t xml:space="preserve">
Con la IA (DigComp 3.0, nivel real): CS1.2.13 – Intermedio: valora qué tan confiable es una fuente, teniendo en cuenta el papel de la IA.</t>
    </r>
  </si>
  <si>
    <t>Uso de los planeadores</t>
  </si>
  <si>
    <t>Uso ético de la información
Contrasta la información de organismos de salud con noticias virales antes de compartirla y cita la fuente oficial.
↳ Se trabaja en la actividad digital (DigComp 1.1).</t>
  </si>
  <si>
    <t>Los planeadores tienen formato colombiano (estándares y DBA). Se usaron solo el tema, el desempeño y los indicadores como detalle, redactados con el estilo de la malla salvadoreña y con las erratas corregidas. No se copió ningún DBA ni estándar.</t>
  </si>
  <si>
    <t>Distribución horaria</t>
  </si>
  <si>
    <t>Oficial
Malla 10.° grado, U4 · 4.11</t>
  </si>
  <si>
    <t>Por decisión del equipo, esta versión no asigna horas. La base sugerida prevé 36 h/año por asignatura, pero solo las unidades oficiales ya superan ese tiempo, y los planeadores están pensados para unas 160 h/año. La columna «Horas (por definir)» del mapa queda lista para completarse cuando se defina la carga.</t>
  </si>
  <si>
    <r>
      <rPr>
        <rFont val="Arial"/>
        <color theme="1"/>
        <sz val="9.0"/>
      </rPr>
      <t>Organizar en una hoja de cálculo los puntos de ebullición de 16 hidruros y generar un gráfico de dispersión por grupo.</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Pon una gota de agua, una de alcohol de botiquín y una de aceite sobre un cartón, lejos de cualquier llama, y mide cuánto tarda cada una en evaporarse. Ordena tú las fuerzas intermoleculares de cada sustancia. Pide a la IA los puntos de ebullición de las tres y verifícalos en fichas de datos de seguridad oficiales. Explica si el orden de evaporación coincide con el tipo de fuerza y si tiene sentido un valor único para el aceite, que es una mezcla.
Evidencia: Tabla «Sustancia · Tiempo de evaporación · Fuerza intermolecular (mía) · Punto de ebullición (Respuesta de IA) · Ficha oficial · ✔/✘». Una línea en tu registro de uso de IA.
→ PISA D4 · TIMSS Razonar</t>
    </r>
  </si>
  <si>
    <t>Convivir
Distribuye con equidad la búsqueda de datos en el equipo y reconoce el aporte de cada integrante.</t>
  </si>
  <si>
    <t>Progresión con grados anteriores</t>
  </si>
  <si>
    <t>Nuevo (planeador)
Planeador Química I · 6.8</t>
  </si>
  <si>
    <t>La malla oficial de 7.° a 9.° ya introdujo varios temas a nivel básico (vectores, leyes de Newton, trabajo y energía, hidrostática, termodinámica del gas ideal, mol y estequiometría, equilibrio químico, ácidos y bases, leyes de Mendel, fuerzas evolutivas). En Bachillerato los indicadores son de mayor nivel: tratamiento cuantitativo, vectorial, con modelos y datos reales, sin repetir indicadores de esos grados.</t>
  </si>
  <si>
    <t>Columnas agregadas</t>
  </si>
  <si>
    <t>Enlace iónico</t>
  </si>
  <si>
    <t>Formación de iones
Redes iónicas
Índice de coordinación</t>
  </si>
  <si>
    <t>Iguales al modelo aprobado de 2.° a 9.°: competencia PISA 2025, microhabilidades PISA por fase (Aproximar, Explorar, Explicar, Indagar, Reforzar), habilidad del siglo XXI, habilidad TIMSS, evidencia de aprendizaje, competencia DigComp 3.0 con su actividad digital y habilidad transversal. Se añade «Origen del contenido». En todos los temas al menos una microhabilidad corresponde a la competencia PISA principal.</t>
  </si>
  <si>
    <t>5.6. Descripción de las etapas de formación de un compuesto iónico y de los tipos de redes cristalinas.</t>
  </si>
  <si>
    <t>2.12. Explicación de la nomenclatura IUPAC para nombrar alquinos.</t>
  </si>
  <si>
    <t>Referente TIMSS</t>
  </si>
  <si>
    <t>E1 · Recuerda la formación de cationes y aniones a partir de la energía de ionización y la afinidad electrónica.</t>
  </si>
  <si>
    <t>D1 · Pregunta guía: «¿Por qué la sal que se obtiene en las salineras de la bahía de Jiquilisco forma cristales cúbicos?».</t>
  </si>
  <si>
    <t>TIMSS evalúa 4.° y 8.° grado; en Bachillerato sus dominios cognitivos (Conocer, Aplicar, Razonar) se usan como referente de exigencia, con predominio de Aplicar y Razonar. TIMSS Advanced (Física y Matemáticas avanzadas) es el marco internacional más cercano para Física.</t>
  </si>
  <si>
    <t>E4 · Construye un modelo tridimensional de la red de NaCl con esferas de dos tamaños y determina su índice de coordinación.</t>
  </si>
  <si>
    <t>D4 · Observa con lupa cristales de sal y sulfato de cobre ya preparados por la docente y relaciona su forma con la red iónica.</t>
  </si>
  <si>
    <t>Uso de IA</t>
  </si>
  <si>
    <t>E3 · Predice el índice de coordinación del CsCl a partir de la relación de radios iónicos y lo justifica.</t>
  </si>
  <si>
    <t>E1 · Recuerda las reglas IUPAC para alcanos y alquenos y las relaciona con la terminación «-ino» de los alquinos.</t>
  </si>
  <si>
    <t>Colaboración (Explicar)
Construye en equipo la red cristalina, distribuyendo tareas de medición, ensamblaje y verificación del índice de coordinación.</t>
  </si>
  <si>
    <t>Conocer: describir la formación de un compuesto iónico. Aplicar: determinar el índice de coordinación en redes cristalinas</t>
  </si>
  <si>
    <t>E3 · Predice cuál será el nombre correcto de un compuesto que tiene un doble y un triple enlace y justifica la prioridad de numeración.</t>
  </si>
  <si>
    <t>Modelo tridimensional de la red de NaCl con ficha de índice de coordinación y relación de radios</t>
  </si>
  <si>
    <t>E2 · Aplica las reglas IUPAC para nombrar alquinos y eninos, y escribe la estructura a partir del nombre.</t>
  </si>
  <si>
    <t>5.10. Describe la formación de un compuesto iónico por transferencia de electrones y reconoce el índice de coordinación en redes como la del NaCl y la del CsCl.</t>
  </si>
  <si>
    <t>E4 · Relaciona el nombre de cada alquino con su modelo molecular lineal y ubica los carbonos con hibridación sp.</t>
  </si>
  <si>
    <r>
      <rPr>
        <rFont val="Arial"/>
        <color theme="1"/>
        <sz val="9.0"/>
      </rPr>
      <t>5.2 Identificación de necesidades y respuestas tecnológicas – Básico</t>
    </r>
    <r>
      <rPr>
        <rFont val="Arial"/>
        <color rgb="FF7030A0"/>
        <sz val="9.0"/>
      </rPr>
      <t xml:space="preserve">
Con la IA (DigComp 3.0, nivel real): CS1.2.08 – Intermedio: reconoce que los datos con que se entrena una IA influyen en qué tan confiable es.</t>
    </r>
  </si>
  <si>
    <t>E3 · Justifica la numeración de compuestos con dobles y triples enlaces y verifica sus respuestas con los modelos.</t>
  </si>
  <si>
    <r>
      <rPr>
        <rFont val="Arial"/>
        <color theme="1"/>
        <sz val="10.0"/>
      </rPr>
      <t>Los estudiantes no usan herramientas de IA directamente. Cuando se contrasta información, se verifica con fuentes científicas u oficiales.</t>
    </r>
    <r>
      <rPr>
        <rFont val="Arial"/>
        <color rgb="FF7030A0"/>
        <sz val="10.0"/>
      </rPr>
      <t xml:space="preserve">
Actualización IA (09/10/2026), por decisión del docente: esta nota queda reemplazada. Ahora los estudiantes sí usan IA y cada subcontenido tiene una actividad con IA pensada para que el estudiante la realice solo o en pareja (la directriz para el docente se elaborará después). Dejan evidencia en la ficha del cuaderno y en su registro de uso de IA; en los trabajos agregan la declaración de uso de IA («Así usé la IA: … · Lo que revisé yo: …»). Herramientas gratuitas usadas: NotebookLM (Gemini Notebook), Gemini (Google), Teachable Machine (Google), Climate TRACE, Pl@ntNet, Global Nature Watch (antes Global Forest Watch), Google Flood Hub, Seek (iNaturalist). Gemini y NotebookLM se usan con la cuenta institucional (Google Workspace for Education); las demás no piden cuenta. Reglas: primero pienso, predigo o mido y después consulto la IA; compruebo lo que dice con mis datos, un simulador o una fuente oficial; rotulo lo hecho con IA; nunca escribo nombres, fotos de rostros ni datos de salud o genéticos; la IA no diagnostica ni decide qué mezclar, comer, tocar ni qué hacer en una emergencia; la uso con propósito porque gasta energía y agua. Sin internet: la ficha trae impresa la respuesta de la IA; BirdNET y Pl@ntNet funcionan sin conexión. Detalle en la hoja «Herramientas IA».</t>
    </r>
  </si>
  <si>
    <t>Creatividad (Reforzar)
Crea un juego de tarjetas original para practicar la relación entre nombre IUPAC y estructura de hidrocarburos.</t>
  </si>
  <si>
    <t>Consumo y seguridad</t>
  </si>
  <si>
    <t>Conocer: recordar las reglas IUPAC para alquinos. Aplicar: nombrar y formular alquinos</t>
  </si>
  <si>
    <t>Nunca se incita al consumo: no se prueban, huelen ni ingieren sustancias, y no se promueven marcas ni productos. Los reactivos peligrosos, las llamas y el calor los maneja la docente; se usan gafas y guantes con ácidos y bases; la electricidad se trabaja con pilas o fuentes de bajo voltaje y nunca se manipula la red; no se usan fuentes radiactivas reales (simuladores y datos publicados); los residuos químicos nunca van al desagüe ni al suelo, y las pilas y los aparatos electrónicos se entregan a puntos de acopio.</t>
  </si>
  <si>
    <t>Juego de tarjetas de nomenclatura de hidrocarburos con veinte pares nombre-estructura verificados</t>
  </si>
  <si>
    <t>Datos personales</t>
  </si>
  <si>
    <r>
      <rPr>
        <rFont val="Arial"/>
        <color theme="1"/>
        <sz val="9.0"/>
      </rPr>
      <t>Elegir, entre dos visualizadores gratuitos de estructuras cristalinas, el que mejor responde a la necesidad de medir distancias entre iones.</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Cristaliza sal y azúcar dejando sus disoluciones al sol varios días y obsérvalas con lupa o la cámara del celular. Dibuja la red del NaCl con su índice de coordinación. Escribe tu hipótesis de qué forma tendrá cada cristal. Entrena Teachable Machine con fotos de cristales de sal y de azúcar y pruébalo con fotos nuevas. Analiza si el modelo distingue por la forma cúbica o por otra cosa, como el tamaño o la luz.
Evidencia: Dibujo de la red con índice de coordinación; tabla «Foto · Mi identificación · Modelo (hecho con IA) · ✔/✘» y un párrafo sobre qué aprendió el modelo. Una línea en tu registro de uso de IA.
→ PISA D4 · TIMSS Razonar</t>
    </r>
  </si>
  <si>
    <t>No se recogen datos personales de salud, genéticos ni de medidas corporales con nombre. Se usan datos publicados, simulados o anónimos, con participación voluntaria.</t>
  </si>
  <si>
    <t>Convivir
Respeta los tiempos de cada integrante al manipular el modelo y los materiales compartidos.</t>
  </si>
  <si>
    <t>2.12. Emplea nomenclatura IUPAC para nombrar alquinos.</t>
  </si>
  <si>
    <t>Conectividad</t>
  </si>
  <si>
    <t>Nuevo (planeador)
Planeador Química I · 7.1</t>
  </si>
  <si>
    <t>Requieren conexión o descarga previa: simuladores PhET, GeoGebra, Tracker, bases de datos científicas y portales oficiales (MARN, SNET, MINSAL). phyphox y las hojas de cálculo funcionan sin conexión.</t>
  </si>
  <si>
    <t>Propiedades de las sustancias iónicas</t>
  </si>
  <si>
    <t>Ubicación de unidades oficiales</t>
  </si>
  <si>
    <r>
      <rPr>
        <rFont val="Arial"/>
        <color theme="1"/>
        <sz val="9.0"/>
      </rPr>
      <t>4.3 Cuidado del bienestar – Básico</t>
    </r>
    <r>
      <rPr>
        <rFont val="Arial"/>
        <color rgb="FF7030A0"/>
        <sz val="9.0"/>
      </rPr>
      <t xml:space="preserve">
Con la IA (DigComp 3.0, nivel real): CS2.1.10 – Intermedio: formula y mejora instrucciones (prompts) para un asistente de IA.</t>
    </r>
  </si>
  <si>
    <t>Dureza y fragilidad
Punto de fusión
Conductividad eléctrica</t>
  </si>
  <si>
    <t>La base sugerida ubica todas las unidades oficiales de Química en 11.°: «Electroquímica», «Introducción a la química orgánica» y «Compuestos orgánicos» (oficiales de 10.°) y «Ciencia de materiales» (oficial de 11.°). 10.° queda formado solo por unidades nuevas del Planeador Química I. Así se resuelve el caso señalado en la base sugerida de una asignatura de 11.° con una sola unidad oficial.</t>
  </si>
  <si>
    <t>5.7. Comprobación experimental de la conductividad eléctrica de sustancias iónicas en estado sólido y en disolución.</t>
  </si>
  <si>
    <t>Superposiciones resueltas (10.°)</t>
  </si>
  <si>
    <t>E1 · Reconoce propiedades de la sal común, como su dureza, su fragilidad y su alto punto de fusión.</t>
  </si>
  <si>
    <t>E5 · Formula una hipótesis sobre si un cristal de sal conducirá la corriente eléctrica antes y después de disolverse.</t>
  </si>
  <si>
    <t>«La química como ciencia» integra la unidad 2 del planeador («La materia y la energía», temas 2.1–2.4); se excluyeron 1.7 (unidades y análisis dimensional, en Física) y 2.5–2.8 (energía y calor, en Física y en «Termodinámica en reacciones químicas»). «Los gases» excluye 8.7 y 8.8 (teoría cinética, en Física 10.°) y usa el enfoque molar. «Los líquidos y los sólidos» excluye 9.5 (transferencia de calor, en Física). «Termodinámica en reacciones químicas» excluye 12.1 (primer principio, en Física). La nomenclatura inorgánica no se repite (7.° oficial).</t>
  </si>
  <si>
    <t>E4 · Explica con el modelo de red iónica por qué un cristal se fractura en planos al desplazar una capa de iones.</t>
  </si>
  <si>
    <t>Química inorgánica</t>
  </si>
  <si>
    <t>D2 · Diseña un circuito de prueba con pila de 9 V y LED para comparar la conductividad de sal sólida, sal disuelta y azúcar disuelta.</t>
  </si>
  <si>
    <r>
      <rPr>
        <rFont val="Arial"/>
        <color theme="1"/>
        <sz val="9.0"/>
      </rPr>
      <t>Organizar sesiones de práctica de nomenclatura en línea con pausas activas y postura adecuada durante el uso prolongado de pantallas.</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Escribe un prompt para que la IA te genere 6 ejercicios de nomenclatura de alquinos con su clave de respuestas. Mejóralo al menos una vez (pide ramificaciones, un enino y estructuras condensadas). Resuelve tú los ejercicios sin ver la clave y luego compara: revisa cada respuesta de la IA con las reglas IUPAC, porque la clave también puede tener errores.
Evidencia: Tus dos versiones del prompt, tus soluciones y la clave rotulada «Respuesta de IA», con cada error de la clave encerrado y corregido. Cierra con qué mejoró tu segundo prompt y una línea en el registro de uso de IA.
→ PISA E3 · TIMSS Aplicar</t>
    </r>
  </si>
  <si>
    <t>No hay planeador con ese nombre: se desarrolló con la parte descriptiva de la unidad 5 del Planeador Química II («Química descriptiva e industrial»), fusionando temas por familias de elementos y con ejemplos salvadoreños (azufre volcánico, geotermia, salineras, cal). Los procesos industriales detallados van en «Química industrial» (11.°).</t>
  </si>
  <si>
    <t>D3 · Evalúa las fuentes de error de su diseño y propone mejoras, como usar electrodos limpios y el mismo volumen de agua.</t>
  </si>
  <si>
    <t>Comunicación (Indagar)
Comunica los resultados del circuito en un informe breve con tabla, fotografías y conclusión fundamentada.</t>
  </si>
  <si>
    <t>Superposiciones resueltas (11.°)</t>
  </si>
  <si>
    <t>Aplicar: comprobar experimentalmente la conductividad. Razonar: explicar resultados con el modelo iónico</t>
  </si>
  <si>
    <t>Convivir
Respeta los tiempos de pausa acordados por el grupo y anima a sus compañeros a cuidar su postura.
↳ Se trabaja en la actividad digital (DigComp 4.3).</t>
  </si>
  <si>
    <t>Informe de laboratorio con diseño del circuito, tabla de conductividad y explicación con el modelo de red</t>
  </si>
  <si>
    <t>5.12. Explica por qué los compuestos iónicos conducen la corriente eléctrica disueltos en agua pero no en estado sólido.</t>
  </si>
  <si>
    <t>Oficial
Malla 10.° grado, U4 · 4.12</t>
  </si>
  <si>
    <t>«Electroquímica» es la unidad oficial con dos temas complementarios del planeador: ecuación de Nernst (el indicador avanzado oficial la menciona pero ningún indicador la trabaja) y corrosión. «Reacciones de precipitación» excluye 3.1–3.2 (solubilidad, ya en 10.°). «Compuestos del carbono» se enfoca en reactividad y mecanismos, porque nomenclatura y propiedades están en las unidades oficiales. «Polímeros y macromoléculas» excluye 9.1 y 9.5 (oficial «Ciencia de materiales» 7.4–7.6) y 9.4 (Biología), y agrega microplásticos. «Carbohidratos y lípidos» y «Proteínas y ácidos nucleicos» tienen enfoque químico estructural; la función, clasificación y metabolismo están en Biología 10.° «Biomoléculas». «Reacciones nucleares» conserva 6.2, 6.5 y 6.9 del planeador más las series de desintegración (Física II 16.8); el resto lo cubren Física 11.° y la unidad oficial de física moderna.</t>
  </si>
  <si>
    <r>
      <rPr>
        <rFont val="Arial"/>
        <color theme="1"/>
        <sz val="9.0"/>
      </rPr>
      <t>5.1 Identificación y resolución de problemas técnicos – Básico</t>
    </r>
    <r>
      <rPr>
        <rFont val="Arial"/>
        <color rgb="FF7030A0"/>
        <sz val="9.0"/>
      </rPr>
      <t xml:space="preserve">
Con la IA (DigComp 3.0, nivel real): CS1.2.13 – Intermedio: valora qué tan confiable es una fuente, teniendo en cuenta el papel de la IA.</t>
    </r>
  </si>
  <si>
    <t>No hay planeador: siete temas propuestos (escalamiento y balance de materia, ácido sulfúrico y fertilizantes, azúcar y etanol, beneficiado del café y aguas mieles, cemento y cal, tratamiento de aguas, química verde). No se nombran empresas ni marcas y no se proponen visitas presenciales.</t>
  </si>
  <si>
    <t>Progresión con 9.°</t>
  </si>
  <si>
    <t>9.° oficial ya trabajó equilibrio químico, Le Châtelier, pH, fuerza de ácidos y bases, buffers y titulación. «Cinética y equilibrio químico» (10.°) y «Reacción ácido-base» (11.°) profundizan: leyes de velocidad, Arrhenius, Kc–Kp, tablas ICE, ΔG° y K; Ka·Kb = Kw, ácidos polipróticos, hidrólisis, Henderson-Hasselbalch y curvas de titulación.</t>
  </si>
  <si>
    <t>Para revisión</t>
  </si>
  <si>
    <r>
      <rPr>
        <rFont val="Arial"/>
        <color theme="1"/>
        <sz val="9.0"/>
      </rPr>
      <t>Resolver fallos del circuito de prueba, como un LED que no enciende, verificando polaridad, conexiones y estado de la pila.</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Arma un circuito con una batería de 9 V, un LED y dos clavos como electrodos; nunca uses el tomacorriente. Prueba agua sola, agua con sal, agua con azúcar, sal seca y azúcar seca. Predice tú antes cuál encenderá el LED. Luego pregúntale al cuaderno de NotebookLM: «¿Por qué un compuesto iónico sólido no conduce y disuelto sí?». Comprueba el circuito en el simulador.
Evidencia: Tabla «Muestra · Predicción · ¿Encendió el LED? · Respuesta de IA · ✔/✘» y el esquema de tu circuito. Una línea en tu registro de uso de IA.
Refuerza con: PhET «Kit de construcción de circuitos: CD» (https://phet.colorado.edu/sims/html/circuit-construction-kit-dc/latest/circuit-construction-kit-dc_es.html)
→ PISA D2 · TIMSS Razonar</t>
    </r>
  </si>
  <si>
    <t>La competencia oficial de «Ciencia de materiales» (11.° U7) menciona «experimentación vegetal», que no corresponde a la unidad; se dejó sin cambios por ser texto oficial.</t>
  </si>
  <si>
    <t>Respeto al medio ambiente, entorno y territorio
Recoge las disoluciones salinas en un recipiente rotulado para su disposición y no las vierte en el suelo.</t>
  </si>
  <si>
    <t>Nuevo (planeador)
Planeador Química I · 7.3</t>
  </si>
  <si>
    <t>Enlace metálico</t>
  </si>
  <si>
    <t>3. Compuestos orgánicos</t>
  </si>
  <si>
    <t>Modelo de la nube electrónica
Redes metálicas
Teoría de bandas</t>
  </si>
  <si>
    <t>Hidrocarburos aromáticos</t>
  </si>
  <si>
    <t>5.8. Explicación del enlace metálico mediante el modelo de la nube electrónica y la teoría de bandas.</t>
  </si>
  <si>
    <t>3.1. Reconocimiento de los hidrocarburos aromáticos.</t>
  </si>
  <si>
    <t>E6 · Reconoce que el cobre del cableado y el silicio de los paneles solares dependen del comportamiento de sus electrones.</t>
  </si>
  <si>
    <t>D1 · Pregunta guía: «¿Por qué el cobre conduce la electricidad, el silicio lo hace poco y el vidrio casi nada?».</t>
  </si>
  <si>
    <t>Obtiene sustancias orgánicas específicas a partir de muestras naturales, empleando un método de extracción física o química.</t>
  </si>
  <si>
    <t>E4 · Representa con diagramas de bandas la banda de valencia, la banda de conducción y la brecha energética de tres materiales.</t>
  </si>
  <si>
    <t>I1 · Busca en fuentes confiables el valor de la brecha energética del silicio y evalúa su relación con las celdas solares.</t>
  </si>
  <si>
    <t>I5 · Justifica, con base en la teoría de bandas, por qué es importante recuperar metales de los aparatos electrónicos desechados.</t>
  </si>
  <si>
    <t>Creatividad (Aproximar)
Crea una analogía visual original que represente el «mar de electrones» y la comparte con la clase.</t>
  </si>
  <si>
    <t>Conocer: describir modelos de enlace metálico. Razonar: explicar la conductividad con la teoría de bandas</t>
  </si>
  <si>
    <t>Diagrama de bandas comparativo de conductor, semiconductor y aislante con explicación escrita</t>
  </si>
  <si>
    <t>Interés por descubrir las aplicaciones domésticas e industriales de distintas familias de compuestos orgánicos. Curiosidad por relacionar los nombres comunes de compuestos orgánicos de uso cotidiano con su naturaleza química y propiedades.</t>
  </si>
  <si>
    <t>5.13. Explica la diferencia entre conductores, semiconductores y aislantes a partir de la teoría de bandas.</t>
  </si>
  <si>
    <r>
      <rPr>
        <rFont val="Arial"/>
        <color theme="1"/>
        <sz val="9.0"/>
      </rPr>
      <t>4.4 Protección del medio ambiente – Básico</t>
    </r>
    <r>
      <rPr>
        <rFont val="Arial"/>
        <color rgb="FF7030A0"/>
        <sz val="9.0"/>
      </rPr>
      <t xml:space="preserve">
DigComp 3.0 cambió el nombre de la 4.4: «Impacto ambiental de las tecnologías digitales» (Environmental impacts of digital technologies).
Con la IA (DigComp 3.0, nivel real): CS1.2.13 – Intermedio: valora qué tan confiable es una fuente, teniendo en cuenta el papel de la IA.</t>
    </r>
  </si>
  <si>
    <t>E1 · Recuerda la hibridación sp² de los alquenos y observa la estructura del benceno en un modelo molecular.</t>
  </si>
  <si>
    <t>D1 · Pregunta guía: «¿Por qué el benceno, con tres dobles enlaces aparentes, no reacciona como un alqueno?».</t>
  </si>
  <si>
    <t>E4 · Explica la estructura del benceno con el modelo de resonancia de Kekulé y la nube de electrones pi deslocalizados sobre el anillo.</t>
  </si>
  <si>
    <r>
      <rPr>
        <rFont val="Arial"/>
        <color theme="1"/>
        <sz val="9.0"/>
      </rPr>
      <t>Investigar cómo se recuperan cobre y oro de teléfonos desechados y localizar un punto de acopio de residuos electrónicos en su municipio.</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Dibuja tú el modelo de la nube electrónica de un metal y un esquema de bandas de energía para un metal, un semiconductor y un aislante. Pregúntale al cuaderno de NotebookLM: «¿Por qué el silicio de los paneles solares es semiconductor y el cobre conductor?». Comprueba en la cita y agrega a tu dibujo la brecha de energía de cada material.
Evidencia: Dibujos de la nube electrónica y de bandas; «Respuesta de IA» con su cita; ✔/✘ en cada material. Una línea en tu registro de uso de IA.
→ PISA I5 · TIMSS Aplicar</t>
    </r>
  </si>
  <si>
    <t>E4 · Reconoce hidrocarburos aromáticos como el tolueno, el naftaleno y el antraceno a partir de sus estructuras y de la regla de Hückel.</t>
  </si>
  <si>
    <t>E3 · Justifica si una estructura dada es aromática o no aplicando los criterios de planaridad, conjugación y número de electrones pi.</t>
  </si>
  <si>
    <t>Respeto al medio ambiente, entorno y territorio
Promueve en su familia la entrega de aparatos electrónicos en desuso a centros de acopio autorizados.
↳ Se trabaja en la actividad digital (DigComp 4.4).</t>
  </si>
  <si>
    <t>Comunicación (Aproximar)
Relata a la clase la historia del sueño de Kekulé y explica con claridad qué aportó y qué corrigió el modelo actual.</t>
  </si>
  <si>
    <t>Conocer: reconocer hidrocarburos aromáticos. Aplicar: usar criterios de aromaticidad</t>
  </si>
  <si>
    <t>Nuevo (planeador)
Planeador Química I · 7.4</t>
  </si>
  <si>
    <t>Hoja de análisis de diez estructuras clasificadas como aromáticas o no aromáticas con justificación</t>
  </si>
  <si>
    <t>COMUNICACIÓN: Aplica la nomenclatura IUPAC para la denominación de compuestos orgánicos y técnicas de laboratorio, para identificar las propiedades físicas y químicas de las funciones orgánicas y sus aplicaciones.</t>
  </si>
  <si>
    <t>Propiedades de las sustancias metálicas</t>
  </si>
  <si>
    <t>Maleabilidad y ductilidad
Conductividad térmica y eléctrica
Aleaciones</t>
  </si>
  <si>
    <t>5.9. Relación de las propiedades de los metales y sus aleaciones con el modelo de enlace metálico.</t>
  </si>
  <si>
    <t>3.1. Reconoce la función hidrocarburos aromáticos.</t>
  </si>
  <si>
    <t>Los compuestos orgánicos presentan propiedades físicas y químicas de acuerdo con su función química.</t>
  </si>
  <si>
    <t>E1 · Identifica metales y aleaciones de uso cotidiano, como el aluminio, el acero de la construcción y el bronce.</t>
  </si>
  <si>
    <t>E3 · Predice qué sucederá al golpear un clavo de hierro y un cristal de sal y justifica la diferencia con el tipo de enlace.</t>
  </si>
  <si>
    <t>E1 · Aplica el modelo de la nube electrónica para explicar por qué las capas de átomos metálicos pueden deslizarse sin romperse.</t>
  </si>
  <si>
    <r>
      <rPr>
        <rFont val="Arial"/>
        <color theme="1"/>
        <sz val="9.0"/>
      </rPr>
      <t>1.1 Navegación, búsqueda y filtrado de información – Básico</t>
    </r>
    <r>
      <rPr>
        <rFont val="Arial"/>
        <color rgb="FF7030A0"/>
        <sz val="9.0"/>
      </rPr>
      <t xml:space="preserve">
Con la IA (DigComp 3.0, nivel real): CS1.2.10 – Intermedio: reconoce que la IA puede dar respuestas equivocadas que parecen ciertas y que quien la usa debe verificarlas.</t>
    </r>
  </si>
  <si>
    <t>I3 · Argumenta con datos de conductividad y densidad por qué el aluminio sustituye al cobre en líneas de alta tensión.</t>
  </si>
  <si>
    <t>E6 · Valora las implicaciones económicas y ambientales del reciclaje de chatarra metálica en El Salvador.</t>
  </si>
  <si>
    <t>Comunicación (Reforzar)
Elabora una infografía que explique a la comunidad escolar por qué conviene reciclar latas de aluminio.</t>
  </si>
  <si>
    <t>Aplicar: relacionar propiedades con el modelo de enlace. Razonar: argumentar la elección de un material</t>
  </si>
  <si>
    <t>Infografía sobre propiedades de metales y beneficios del reciclaje con datos de conductividad y densidad</t>
  </si>
  <si>
    <r>
      <rPr>
        <rFont val="Arial"/>
        <color theme="1"/>
        <sz val="9.0"/>
      </rPr>
      <t>Buscar en PubChem las estructuras del benceno, el tolueno y el naftaleno, filtrando la información de seguridad y usos industriales.</t>
    </r>
    <r>
      <rPr>
        <rFont val="Arial"/>
        <color rgb="FF7030A0"/>
        <sz val="9.0"/>
      </rPr>
      <t xml:space="preserve">
IA (Explorar · el estudiante, solo o en pareja).
Herramienta y medio: app Pl@ntNet (plantnet.org) en el celular o la tableta; muestra varias opciones con su porcentaje de confianza.
Actividad: Identifica con Pl@ntNet plantas aromáticas de tu entorno o de la cocina: canela, albahaca, clavo, vainilla o hierbabuena (foto solo de la hoja o la flor). Huele de lejos la especia seca y escribe qué compuesto crees que da el aroma. Busca en el texto de la unidad cuáles contienen un anillo aromático (eugenol, cinamaldehído, vainillina) y construye uno en el simulador.
Evidencia: Tabla «Planta · Nombre que dio Pl@ntNet (hecho con IA) · Compuesto que predije · Compuesto real · ¿Tiene anillo bencénico?», con dibujo del anillo. Marca ✔ o ✘ y anota una línea en el registro de uso de IA.
Refuerza con: PhET «Construye una molécula» (https://phet.colorado.edu/sims/html/build-a-molecule/latest/build-a-molecule_es.html)
→ PISA D1 · TIMSS Conocer</t>
    </r>
  </si>
  <si>
    <t>5.14. Relaciona la maleabilidad, la ductilidad y la conductividad de los metales con el modelo de enlace metálico y sus usos cotidianos.</t>
  </si>
  <si>
    <t>Uso ético de la información
Registra el identificador de PubChem de cada compuesto consultado para que otros puedan verificar la información.
↳ Se trabaja en la actividad digital (DigComp 1.1).</t>
  </si>
  <si>
    <t>Todos los estándares para la denominación, nomenclatura, escritura y representación de compuestos orgánicos deberán ser compatibles con las
disposiciones de la IUPAC.^3,4
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t>
  </si>
  <si>
    <r>
      <rPr>
        <rFont val="Arial"/>
        <color theme="1"/>
        <sz val="9.0"/>
      </rPr>
      <t>2.3 Participación ciudadana a través de tecnologías digitales – Básico</t>
    </r>
    <r>
      <rPr>
        <rFont val="Arial"/>
        <color rgb="FF7030A0"/>
        <sz val="9.0"/>
      </rPr>
      <t xml:space="preserve">
Con la IA (DigComp 3.0, nivel real): CS1.2.08 – Intermedio: reconoce que los datos con que se entrena una IA influyen en qué tan confiable es.</t>
    </r>
  </si>
  <si>
    <r>
      <rPr>
        <rFont val="Arial"/>
        <color theme="1"/>
        <sz val="9.0"/>
      </rPr>
      <t>Participar con su infografía en una campaña digital escolar o municipal de reciclaje de latas de aluminio.</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Golpea suavemente con una cuchara objetos de aluminio, acero, latón (llave) y cobre, y otros de plástico y madera. Escribe antes por qué los metales suenan distinto según el modelo de enlace metálico. Graba en Teachable Machine 20 sonidos de «metal» y 20 de «no metal» y pruébalo con objetos nuevos. Anota sus errores y explica si el sonido depende del material o de la forma del objeto.
Evidencia: Tabla «Objeto · Material · Modelo (hecho con IA) · ✔/✘»; párrafo que relaciona maleabilidad, conductividad y sonido con el enlace metálico. Una línea en tu registro de uso de IA.
→ PISA I3 · TIMSS Razonar</t>
    </r>
  </si>
  <si>
    <t>Convivir
Colabora con la comunidad educativa en la campaña de reciclaje respetando las opiniones de los demás.
↳ Se trabaja en la actividad digital (DigComp 2.3).</t>
  </si>
  <si>
    <t>Nuevo (planeador)
Planeador Química I · 7.5</t>
  </si>
  <si>
    <t>Oficial
Malla 10.° grado, U5 · 5.1</t>
  </si>
  <si>
    <t>U6 - Eje integrador: sistemas</t>
  </si>
  <si>
    <t>3.2. Experimentación con las propiedades físicas y químicas de los hidrocarburos aromáticos.</t>
  </si>
  <si>
    <t>6. Los gases</t>
  </si>
  <si>
    <t>E6 · Reconoce que el benceno, el tolueno y los xilenos están presentes en las emisiones del tráfico vehicular del Área Metropolitana de San Salvador.</t>
  </si>
  <si>
    <t>El estado gaseoso</t>
  </si>
  <si>
    <t>E3 · Predice si el benceno tendrá una temperatura de ebullición mayor o menor que el hexano y justifica su predicción con su estructura.</t>
  </si>
  <si>
    <t>E1 · Explica la estabilidad del anillo aromático y por qué los aromáticos prefieren reacciones de sustitución en lugar de adición.</t>
  </si>
  <si>
    <t>Variables de estado
Presión atmosférica
Experimento de Torricelli</t>
  </si>
  <si>
    <t>D4 · Analiza tablas de temperatura de ebullición, densidad, solubilidad y entalpía de hidrogenación de aromáticos y concluye sobre la energía de resonancia.</t>
  </si>
  <si>
    <t>I5 · Justifica por qué en el laboratorio escolar no se manipulan aromáticos y se trabajan sus propiedades con datos y videos demostrativos.</t>
  </si>
  <si>
    <t>Pensamiento crítico (Indagar)
Calcula la energía de resonancia del benceno a partir de datos de hidrogenación y evalúa si el dato respalda el modelo de Kekulé.</t>
  </si>
  <si>
    <t>6.1. Medición de la presión atmosférica y análisis de su variación con la altitud.</t>
  </si>
  <si>
    <t>Conocer: identificar propiedades de los hidrocarburos aromáticos. Aplicar: calcular la energía de resonancia. Razonar: concluir sobre la estabilidad del benceno a partir de datos</t>
  </si>
  <si>
    <t>Tabla de propiedades de cinco aromáticos con cálculo de la energía de resonancia y conclusión escrita</t>
  </si>
  <si>
    <t>Resuelve problemas de estequiometría con reactivos o productos gaseosos aplicando la ecuación de estado del gas ideal y la ley de Dalton. Explica las desviaciones del comportamiento ideal de los gases reales y la velocidad relativa de difusión y efusión con la ley de Graham.</t>
  </si>
  <si>
    <t>3.2. Identifica las propiedades físicas y químicas de los hidrocarburos aromáticos.</t>
  </si>
  <si>
    <r>
      <rPr>
        <rFont val="Arial"/>
        <color theme="1"/>
        <sz val="9.0"/>
      </rPr>
      <t>5.4 Identificación y atención de necesidades de competencia digital – Básico</t>
    </r>
    <r>
      <rPr>
        <rFont val="Arial"/>
        <color rgb="FF7030A0"/>
        <sz val="9.0"/>
      </rPr>
      <t xml:space="preserve">
Con la IA (DigComp 3.0, nivel real): CS1.2.13 – Intermedio: valora qué tan confiable es una fuente, teniendo en cuenta el papel de la IA.</t>
    </r>
  </si>
  <si>
    <t>Interés por comprender la composición y la calidad del aire que respira su comunidad. Responsabilidad en el manejo seguro de recipientes a presión y de gases producidos en reacciones químicas.</t>
  </si>
  <si>
    <r>
      <rPr>
        <rFont val="Arial"/>
        <color theme="1"/>
        <sz val="9.0"/>
      </rPr>
      <t>Identificar qué habilidades de hoja de cálculo necesita mejorar para analizar datos termoquímicos y buscar un tutorial adecuado.</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Busca en una fuente oficial (PubChem) el punto de ebullición, la solubilidad en agua y los pictogramas de peligro del benceno, el tolueno y el ciclohexano. No los manipules: solo analiza datos. Predice primero en qué se parecen y en qué difieren. Luego pregunta al cuaderno de la unidad en NotebookLM: «¿Por qué el benceno prefiere la sustitución y no la adición?» y relaciónalo con tus datos.
Evidencia: Tabla «Sustancia · Ebullición · Solubilidad · Pictogramas · Mi predicción», con la explicación rotulada «Respuesta de IA». Cierra con «La IA acertó en… / se equivocó en…» y una línea en el registro de uso de IA.
→ PISA D4 · TIMSS Razonar</t>
    </r>
  </si>
  <si>
    <t>Respeto al medio ambiente, entorno y territorio
Relaciona las emisiones vehiculares de compuestos aromáticos con la calidad del aire y propone medidas de movilidad sostenible.</t>
  </si>
  <si>
    <t>Oficial
Malla 10.° grado, U5 · 5.2</t>
  </si>
  <si>
    <t>E1 · Recuerda las variables presión, volumen y temperatura trabajadas en 9.° con el gas ideal y agrega la cantidad de sustancia.</t>
  </si>
  <si>
    <t>3.3. Explicación de la nomenclatura IUPAC para nombrar hidrocarburos aromáticos.</t>
  </si>
  <si>
    <t>D1 · Pregunta guía: «¿Por qué el agua hierve antes en la cima del volcán de Santa Ana que en la playa de La Libertad?».</t>
  </si>
  <si>
    <t>E1 · Recuerda las reglas IUPAC de los hidrocarburos alifáticos y observa que los derivados del benceno llevan prefijos de posición.</t>
  </si>
  <si>
    <t>E2 · Convierte presiones entre pascales, atmósferas y milímetros de mercurio y representa el experimento de Torricelli.</t>
  </si>
  <si>
    <t>E3 · Predice cuántos isómeros de posición tiene el dimetilbenceno y justifica su respuesta con modelos.</t>
  </si>
  <si>
    <t>E2 · Aplica las reglas IUPAC y los prefijos orto, meta y para para nombrar derivados monosustituidos y disustituidos del benceno.</t>
  </si>
  <si>
    <t>D4 · Analiza lecturas del barómetro del teléfono tomadas a distintas altitudes y concluye cómo cambia la presión con la altura.</t>
  </si>
  <si>
    <t>E4 · Relaciona los nombres comunes aceptados por la IUPAC, como tolueno, fenol y anilina, con sus estructuras.</t>
  </si>
  <si>
    <t>D3 · Evalúa nombres de compuestos aromáticos escritos por otros equipos y corrige los localizadores incorrectos.</t>
  </si>
  <si>
    <t>E6 · Relaciona la presión atmosférica con el pronóstico del tiempo que emite el Observatorio Ambiental del MARN.</t>
  </si>
  <si>
    <t>Colaboración (Reforzar)
Coordina con su equipo un torneo de nomenclatura aromática en el que cada integrante propone y revisa estructuras.</t>
  </si>
  <si>
    <t>Pensamiento crítico (Indagar)
Evalúa la confiabilidad de las lecturas del sensor comparándolas con datos oficiales de estaciones meteorológicas.</t>
  </si>
  <si>
    <t>Conocer: recordar las reglas IUPAC para aromáticos. Aplicar: nombrar y formular hidrocarburos aromáticos</t>
  </si>
  <si>
    <t>Conocer: describir el experimento de Torricelli. Aplicar: convertir unidades de presión. Razonar: interpretar la variación de la presión con la altitud</t>
  </si>
  <si>
    <t>Ejercicios resueltos de nomenclatura de doce compuestos aromáticos con numeración y prefijos orto, meta y para</t>
  </si>
  <si>
    <t>Tabla y gráfica de presión atmosférica frente a altitud con datos propios y oficiales</t>
  </si>
  <si>
    <t>3.3. Emplea nomenclatura IUPAC para nombrar hidrocarburos aromáticos.</t>
  </si>
  <si>
    <t>INDAGACIÓN: Relacionar experimentalmente la presión, el volumen, la temperatura y la cantidad de sustancia de un gas, para predecir su comportamiento en reacciones químicas, en la atmósfera y en procesos industriales.</t>
  </si>
  <si>
    <r>
      <rPr>
        <rFont val="Arial"/>
        <color theme="1"/>
        <sz val="9.0"/>
      </rPr>
      <t>2.1 Interacción a través de y con tecnologías digitales – Básico</t>
    </r>
    <r>
      <rPr>
        <rFont val="Arial"/>
        <color rgb="FF7030A0"/>
        <sz val="9.0"/>
      </rPr>
      <t xml:space="preserve">
Con la IA (DigComp 3.0, nivel real): CS1.2.13 – Intermedio: valora qué tan confiable es una fuente, teniendo en cuenta el papel de la IA.</t>
    </r>
  </si>
  <si>
    <t>6.1. Explica la variación de la presión atmosférica con la altitud a partir de mediciones y del experimento de Torricelli.</t>
  </si>
  <si>
    <t>Los gases obedecen relaciones sencillas entre presión, volumen, temperatura y cantidad de sustancia que permiten calcular cuánto gas produce o consume una reacción. Este conocimiento es clave para vigilar la calidad del aire, comprender las emisiones volcánicas y diseñar procesos seguros como el inflado de bolsas de aire o el almacenamiento de gas propano.</t>
  </si>
  <si>
    <r>
      <rPr>
        <rFont val="Arial"/>
        <color theme="1"/>
        <sz val="9.0"/>
      </rPr>
      <t>Participar en un cuestionario interactivo del aula virtual sobre nomenclatura aromática y comentar las respuestas con el equipo.</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Dibuja seis derivados del benceno con dos sustituyentes en posiciones orto, meta y para, y nómbralos con prefijos y con números. Pregunta al cuaderno de la unidad en NotebookLM: «¿Cuándo se usan los nombres comunes como tolueno o fenol como base del nombre?». Revisa tus nombres y construye dos de ellos en el simulador para comprobar las posiciones.
Evidencia: Tabla «Estructura · Mi nombre (o-, m-, p-) · Mi nombre (números) · Regla del cuaderno (Respuesta de IA) · Corrección», con dos capturas del simulador. Anota una línea en el registro de uso de IA.
Refuerza con: PhET «Construye una molécula» (https://phet.colorado.edu/sims/html/build-a-molecule/latest/build-a-molecule_es.html)
→ PISA D3 · TIMSS Aplicar</t>
    </r>
  </si>
  <si>
    <t>Convivir
Celebra los aciertos de los compañeros y comenta los errores con respeto durante el cuestionario grupal.
↳ Se trabaja en la actividad digital (DigComp 2.1).</t>
  </si>
  <si>
    <t>Oficial
Malla 10.° grado, U5 · 5.3</t>
  </si>
  <si>
    <t>Compuestos orgánicos oxigenados</t>
  </si>
  <si>
    <r>
      <rPr>
        <rFont val="Arial"/>
        <color theme="1"/>
        <sz val="9.0"/>
      </rPr>
      <t>4.2 Protección de datos personales y privacidad – Básico</t>
    </r>
    <r>
      <rPr>
        <rFont val="Arial"/>
        <color rgb="FF7030A0"/>
        <sz val="9.0"/>
      </rPr>
      <t xml:space="preserve">
Con la IA (DigComp 3.0, nivel real): CS1.2.13 – Intermedio: valora qué tan confiable es una fuente, teniendo en cuenta el papel de la IA.</t>
    </r>
  </si>
  <si>
    <t>Alcoholes, fenoles y éteres</t>
  </si>
  <si>
    <t>3.4. Identificación práctica de las funciones alcohol, fenol y éter.</t>
  </si>
  <si>
    <t>E1 · Recuerda compuestos oxigenados cotidianos, como el etanol de los antisépticos, el azúcar de caña y el eugenol del clavo de olor.</t>
  </si>
  <si>
    <t>E5 · Propone una explicación de por qué el etanol y el éter dimetílico tienen la misma fórmula molecular pero propiedades distintas.</t>
  </si>
  <si>
    <t>E1 · Identifica los grupos funcionales hidroxilo en alcoholes, hidroxilo unido a anillo en fenoles y oxígeno puente en éteres.</t>
  </si>
  <si>
    <t>D4 · Clasifica las estructuras de veinte compuestos naturales y sintéticos en alcoholes primarios, secundarios, terciarios, fenoles o éteres.</t>
  </si>
  <si>
    <r>
      <rPr>
        <rFont val="Arial"/>
        <color theme="1"/>
        <sz val="9.0"/>
      </rPr>
      <t>Revisar los permisos de ubicación y almacenamiento que solicita la app phyphox antes de usar su barómetro y desactivar los innecesarios.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Predice tú cómo cambia la presión atmosférica entre La Libertad, San Salvador y la cumbre del volcán de Santa Ana. Busca la presión registrada en estaciones del Observatorio de Amenazas del MARN. Luego pregúntale al cuaderno de NotebookLM: «¿Qué demostró Torricelli y por qué baja la presión con la altitud?». Grafica presión contra altitud con tus datos y compara con la explicación.
Evidencia: Gráfica propia de presión frente a altitud con datos del MARN; ficha «Yo pienso · La IA dice · Lo comprobé» con la «Respuesta de IA» y su cita. Una línea en tu registro de uso de IA.
Refuerza con: Observatorio de Amenazas (MARN): pronóstico, calidad del aire, hidrología (https://www.snet.gob.sv)
→ PISA D4 · TIMSS Razonar</t>
    </r>
  </si>
  <si>
    <t>E3 · Justifica la clasificación de moléculas con varios grupos funcionales, como la glicerina y el eugenol.</t>
  </si>
  <si>
    <t>Creatividad (Explorar)
Crea un organizador gráfico original que permita distinguir de un vistazo alcoholes, fenoles y éteres.</t>
  </si>
  <si>
    <t>Uso ético de la información
Protege la ubicación personal al compartir datos del sensor y publica solo la altitud del sitio de medición.
↳ Se trabaja en la actividad digital (DigComp 4.2).</t>
  </si>
  <si>
    <t>Conocer: identificar grupos funcionales. Aplicar: clasificar estructuras</t>
  </si>
  <si>
    <t>Organizador gráfico con clasificación de veinte estructuras en alcoholes, fenoles y éteres</t>
  </si>
  <si>
    <t>3.4. Reconoce las funciones alcohol, fenol y éter.</t>
  </si>
  <si>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Se admiten como unidades de uso frecuente la atmósfera (1 atm = 101 325 Pa), el milímetro de mercurio (760 mmHg = 1 atm) y el litro (1 L = 1 dm³); las condiciones normales (CN) corresponden a 0 °C y 1 atm. Simbología utilizada para la representación de magnitudes de interés en la unidad: P: presión, en pascales, Pa, o atmósferas, atm; V: volumen, en metros cúbicos, m³, o litros, L; T: temperatura absoluta, en kelvin, K; n: cantidad de sustancia, en moles, mol; R: constante de los gases, 8.314 J/(mol·K) o 0.082 atm·L/(mol·K); M: masa molar, en gramos por mol, g/mol; ρ: densidad, en gramos por litro, g/L; Pᵢ: presión parcial del gas i; xᵢ: fracción molar del gas i, adimensional; Z: factor de compresibilidad, adimensional; a y b: constantes de van der Waals.</t>
  </si>
  <si>
    <r>
      <rPr>
        <rFont val="Arial"/>
        <color theme="1"/>
        <sz val="9.0"/>
      </rPr>
      <t>3.1 Desarrollo de contenidos digitales – Básico</t>
    </r>
    <r>
      <rPr>
        <rFont val="Arial"/>
        <color rgb="FF7030A0"/>
        <sz val="9.0"/>
      </rPr>
      <t xml:space="preserve">
Con la IA (DigComp 3.0, nivel real): CS1.2.10 – Intermedio: reconoce que la IA puede dar respuestas equivocadas que parecen ciertas y que quien la usa debe verificarlas.</t>
    </r>
  </si>
  <si>
    <t>Nuevo (planeador)
Planeador Química I · 8.1</t>
  </si>
  <si>
    <t>Leyes de los gases</t>
  </si>
  <si>
    <r>
      <rPr>
        <rFont val="Arial"/>
        <color theme="1"/>
        <sz val="9.0"/>
      </rPr>
      <t>Diseñar una presentación digital con estructuras dibujadas en un editor molecular que muestre los tres grupos funcionales.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Lejos de cualquier llama, pon una gota de agua y una de alcohol isopropílico de botiquín sobre papel toalla y mide cuánto tarda en secarse cada una. Mezcla un poco de cada líquido con aceite y observa. Predice antes el resultado según sus grupos funcionales. Luego pregúntale a la IA: «¿Por qué el alcohol se evapora más rápido que el agua si ambos forman puentes de hidrógeno?» y compara con tus tiempos.
Evidencia: Ficha «Yo pienso · La IA dice · Lo comprobé»: en «Yo pienso», tu predicción con los grupos –OH; en «La IA dice», la respuesta rotulada «Respuesta de IA»; en «Lo comprobé», tu tabla de tiempos y miscibilidad, y el nombre IUPAC del alcohol. Marca ✔ o ✘ y anota una línea en el registro de uso de IA.
→ PISA D4 · TIMSS Razonar</t>
    </r>
  </si>
  <si>
    <t>Ley de Boyle-Mariotte
Ley de Charles
Ley de Gay-Lussac</t>
  </si>
  <si>
    <t>6.2. Comprobación experimental de la ley de Boyle-Mariotte y análisis gráfico de las leyes de Charles y Gay-Lussac.</t>
  </si>
  <si>
    <t>Uso ético de la información
Elabora sus propias estructuras en el editor molecular y reconoce la herramienta utilizada en la presentación.
↳ Se trabaja en la actividad digital (DigComp 3.1).</t>
  </si>
  <si>
    <t>Oficial
Malla 10.° grado, U5 · 5.4</t>
  </si>
  <si>
    <t>E1 · Reconoce situaciones cotidianas en que un gas se comprime o se expande, como una llanta de bicicleta o una jeringa tapada.</t>
  </si>
  <si>
    <t>E3 · Predice cómo cambiará el volumen de aire en una jeringa sellada al duplicar la presión y justifica su predicción.</t>
  </si>
  <si>
    <t>E2 · Representa las leyes de Boyle, Charles y Gay-Lussac en gráficas P-V, V-T y P-T e interpreta su forma.</t>
  </si>
  <si>
    <t>Aldehídos, cetonas, ácidos carboxílicos y sus derivados</t>
  </si>
  <si>
    <t>D4 · Mide pares presión-volumen con una jeringa sellada y un manómetro, grafica P frente a 1/V y calcula la pendiente.</t>
  </si>
  <si>
    <t>3.5. Demostración práctica de las propiedades físicas y químicas de los aldehídos, cetonas, ácidos carboxílicos y sus derivados.</t>
  </si>
  <si>
    <t>D3 · Evalúa por qué la temperatura debe mantenerse constante en el experimento y cómo afecta comprimir con rapidez.</t>
  </si>
  <si>
    <t>Colaboración (Indagar)
Organiza al equipo en roles de medición, registro y control de la temperatura durante la compresión de la jeringa.</t>
  </si>
  <si>
    <t>Aplicar: linealizar y graficar datos. Razonar: justificar las condiciones de control del experimento</t>
  </si>
  <si>
    <t>Informe de laboratorio con gráfica P frente a 1/V, pendiente calculada y análisis de errores</t>
  </si>
  <si>
    <t>E1 · Recuerda la reacción del vinagre con el bicarbonato de sodio vista en grados anteriores y la relaciona con el grupo carboxilo.</t>
  </si>
  <si>
    <t>E3 · Predice si el ácido acético o el etanol reaccionarán con bicarbonato de sodio y justifica su predicción con la acidez del grupo funcional.</t>
  </si>
  <si>
    <t>6.2. Determina con datos experimentales la constante de proporcionalidad de la ley de Boyle-Mariotte y aplica las leyes de Charles y Gay-Lussac.</t>
  </si>
  <si>
    <t>E2 · Representa con ecuaciones la neutralización de ácidos carboxílicos y la prueba de Fehling para distinguir aldehídos de cetonas.</t>
  </si>
  <si>
    <t>D2 · Diseña un experimento para medir el volumen de CO₂ liberado por vinagre con bicarbonato y observa la prueba de Fehling con glucosa realizada por la docente.</t>
  </si>
  <si>
    <r>
      <rPr>
        <rFont val="Arial"/>
        <color theme="1"/>
        <sz val="9.0"/>
      </rPr>
      <t>1.3 Gestión de la información – Básico</t>
    </r>
    <r>
      <rPr>
        <rFont val="Arial"/>
        <color rgb="FF7030A0"/>
        <sz val="9.0"/>
      </rPr>
      <t xml:space="preserve">
Con la IA (DigComp 3.0, nivel real): CS1.2.13 – Intermedio: valora qué tan confiable es una fuente, teniendo en cuenta el papel de la IA.</t>
    </r>
  </si>
  <si>
    <t>D3 · Evalúa las fuentes de error en la medición del gas y propone mejoras en el método de recolección.</t>
  </si>
  <si>
    <t>Creatividad (Indagar)
Diseña un dispositivo original con materiales reutilizados para recoger y medir el CO₂ liberado en la reacción.</t>
  </si>
  <si>
    <t>Conocer: identificar propiedades de aldehídos, cetonas, ácidos carboxílicos y derivados. Aplicar: representar reacciones y medir volúmenes. Razonar: evaluar el diseño experimental</t>
  </si>
  <si>
    <t>Informe de laboratorio con volumen de CO₂ medido, ecuaciones de neutralización y resultado de la prueba de Fehling</t>
  </si>
  <si>
    <t>3.8. Identifica las propiedades físicas y químicas de aldehídos, cetonas, ácidos carboxílicos y sus derivados.</t>
  </si>
  <si>
    <r>
      <rPr>
        <rFont val="Arial"/>
        <color theme="1"/>
        <sz val="9.0"/>
      </rPr>
      <t>Registrar los pares presión-volumen en una hoja de cálculo, linealizar con 1/V y obtener la línea de tendencia con su ecuación.</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Tapa la punta de una jeringa de 60 mL y coloca libros iguales sobre el émbolo; anota el volumen con 0, 1, 2, 3 y 4 libros. Escribe antes qué gráfica crees que será una línea recta. Grafica V frente a P y V frente a 1/P. Compara con el simulador «Propiedades de los gases». Luego pregúntale al cuaderno de NotebookLM qué gráfica debe ser lineal según Boyle y comprueba si la tuya lo es.
Evidencia: Tabla de datos y dos gráficas propias; «Respuesta de IA» con su cita; ✔/✘ sobre la linealidad de tu gráfica. Una línea en tu registro de uso de IA.
Refuerza con: PhET «Propiedades de los gases» (https://phet.colorado.edu/sims/html/gas-properties/latest/gas-properties_es.html)
→ PISA D4 · TIMSS Razonar</t>
    </r>
  </si>
  <si>
    <t>4.1 Protección de dispositivos – Básico</t>
  </si>
  <si>
    <t>Herramientas de IA para Ciencias — Química de Bachillerato (10.° y 11.°) — gratuitas (09/10/2026; reaplicada el 11/10/2026)</t>
  </si>
  <si>
    <t>Convivir
Respeta los roles asignados y apoya a los compañeros que tienen dificultades con la lectura del manómetro.</t>
  </si>
  <si>
    <t>Proteger el teléfono al instalar una aplicación de cronómetro para el experimento, verificando su origen y actualizaciones.</t>
  </si>
  <si>
    <t>Nuevo (planeador)
Planeador Química I · 8.2</t>
  </si>
  <si>
    <t>Convivir
Comparte el dispositivo de medición con otros equipos y acuerda turnos para usarlo.
↳ Se trabaja en la actividad digital (DigComp 4.1).</t>
  </si>
  <si>
    <t>Oficial
Malla 10.° grado, U5 · 5.8</t>
  </si>
  <si>
    <t>Ecuación de estado</t>
  </si>
  <si>
    <t>Ecuación PV = nRT
Volumen molar
Estequiometría de gases</t>
  </si>
  <si>
    <t>6.3. Cálculo de cantidades de gases producidos o consumidos en reacciones químicas mediante la ecuación de estado del gas ideal.</t>
  </si>
  <si>
    <t>3.6. Explicación de la nomenclatura IUPAC para nombrar aldehídos, cetonas, ácidos carboxílicos y sus derivados.</t>
  </si>
  <si>
    <t>E1 · Recuerda el cálculo de moles y las relaciones estequiométricas estudiados en 8.° y los aplica a una ecuación balanceada.</t>
  </si>
  <si>
    <t>E3 · Predice qué volumen de CO₂ se obtendrá al reaccionar 2 g de bicarbonato de sodio con vinagre en exceso.</t>
  </si>
  <si>
    <t>E1 · Recuerda las reglas IUPAC de alcoholes y observa las terminaciones «-al», «-ona» y «ácido …-oico».</t>
  </si>
  <si>
    <t>E1 · Aplica la ecuación PV = nRT y el volumen molar para calcular masas molares y densidades de gases.</t>
  </si>
  <si>
    <t>E3 · Predice por qué no existe la «metanona» ni la «propan-1-ona» y justifica su respuesta con la posición del carbonilo.</t>
  </si>
  <si>
    <t>D4 · Recoge el CO₂ de la reacción en una bolsa o probeta invertida, mide su volumen y compara con el valor calculado.</t>
  </si>
  <si>
    <t>E2 · Aplica las reglas IUPAC para nombrar aldehídos, cetonas, ácidos carboxílicos, ésteres y amidas, y escribe sus estructuras.</t>
  </si>
  <si>
    <t>I5 · Justifica, con cálculos estequiométricos, la cantidad de azida de sodio necesaria para inflar la bolsa de aire de un automóvil.</t>
  </si>
  <si>
    <t>E4 · Relaciona el orden de prioridad de los grupos funcionales con la elección de la cadena principal y del sufijo.</t>
  </si>
  <si>
    <t>Creatividad (Indagar)
Diseña un dispositivo casero para recoger y medir el gas de la reacción con materiales reutilizados.</t>
  </si>
  <si>
    <t>I4 · Critica nombres incorrectos de compuestos carbonílicos encontrados en materiales digitales y los corrige con las reglas IUPAC.</t>
  </si>
  <si>
    <t>Aplicar: calcular volúmenes de gas con PV = nRT y estequiometría</t>
  </si>
  <si>
    <t>Pensamiento crítico (Reforzar)
Analiza y corrige errores de nomenclatura en tres recursos digitales, argumentando la regla IUPAC incumplida.</t>
  </si>
  <si>
    <t>Informe con cálculo estequiométrico, volumen medido de CO₂ y porcentaje de error</t>
  </si>
  <si>
    <t>Conocer: recordar las reglas IUPAC para compuestos carbonílicos. Aplicar: nombrar y formular aldehídos, cetonas, ácidos y derivados</t>
  </si>
  <si>
    <t>6.3. Calcula el volumen de gas producido en una reacción química combinando la estequiometría con la ecuación PV = nRT.</t>
  </si>
  <si>
    <t>Ejercicios resueltos de nomenclatura de veinte compuestos carbonílicos y derivados con correcciones argumentadas</t>
  </si>
  <si>
    <t>3.9. Emplea nomenclatura IUPAC para nombrar aldehídos, cetonas, ácidos carboxílicos y sus derivados.</t>
  </si>
  <si>
    <r>
      <rPr>
        <rFont val="Arial"/>
        <color theme="1"/>
        <sz val="9.0"/>
      </rPr>
      <t>3.4 Pensamiento computacional y programación – Básico</t>
    </r>
    <r>
      <rPr>
        <rFont val="Arial"/>
        <color rgb="FF7030A0"/>
        <sz val="9.0"/>
      </rPr>
      <t xml:space="preserve">
Con la IA (DigComp 3.0, nivel real): CS1.2.10 – Intermedio: reconoce que la IA puede dar respuestas equivocadas que parecen ciertas y que quien la usa debe verificarlas.</t>
    </r>
  </si>
  <si>
    <t>2.4 Colaboración a través de tecnologías digitales – Básico</t>
  </si>
  <si>
    <t>Revisar con el equipo en un documento colaborativo los nombres de compuestos propuestos por cada integrante.</t>
  </si>
  <si>
    <t>Hoja nueva: todo su contenido es parte de la intervención de IA. Las actividades están pensadas para que el estudiante las realice solo o en pareja; la directriz para el docente se elaborará después. Las condiciones de cada herramienta se revisaron el 09/10/2026 en sus sitios oficiales y pueden cambiar.</t>
  </si>
  <si>
    <t>Convivir
Usa comentarios constructivos en el documento colaborativo y respeta los aportes de todos los integrantes.
↳ Se trabaja en la actividad digital (DigComp 2.4).</t>
  </si>
  <si>
    <t>Oficial
Malla 10.° grado, U5 · 5.9</t>
  </si>
  <si>
    <t>Otros compuestos orgánicos</t>
  </si>
  <si>
    <r>
      <rPr>
        <rFont val="Arial"/>
        <color theme="1"/>
        <sz val="9.0"/>
      </rPr>
      <t>Programar en Python o en hoja de cálculo un algoritmo que reciba la masa de reactivo, P y T y devuelva el volumen de gas producido.</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Pesa 5 g de bicarbonato y ponlo en un globo; agrega vinagre de sobra a una botella, coloca el globo y deja caer el bicarbonato. Mide la circunferencia del globo para estimar su volumen. Calcula tú los moles de CO₂ esperados con la ecuación balanceada y el volumen con PV = nRT a la presión de tu ciudad. Pide a la IA el mismo cálculo y revisa R, unidades y temperatura en kelvin. Compara con tu volumen medido.
Evidencia: Tabla «Volumen teórico (mío) · Respuesta de IA · Volumen medido · Error relativo», con la ecuación balanceada y ✔/✘ en las unidades. Una línea en tu registro de uso de IA.
Refuerza con: PhET «Propiedades de los gases» (https://phet.colorado.edu/sims/html/gas-properties/latest/gas-properties_es.html)
→ PISA D4 · TIMSS Razonar</t>
    </r>
  </si>
  <si>
    <t>Tioles
Tioéteres
Aminas
Haluros de alquilo y arilo</t>
  </si>
  <si>
    <t>Convivir
Comparte su algoritmo con el grupo y acepta con apertura las sugerencias de mejora de sus compañeros.
↳ Se trabaja en la actividad digital (DigComp 3.4).</t>
  </si>
  <si>
    <t>3.7. Reconocimiento de las funciones tioles, tioéteres, aminas, haluros de alquilo y arilo.</t>
  </si>
  <si>
    <t>Nuevo (planeador)
Planeador Química I · 8.3</t>
  </si>
  <si>
    <t>Mezclas de gases</t>
  </si>
  <si>
    <t>E6 · Reconoce que al gas propano se le agrega un tiol para detectar fugas y que los plaguicidas organoclorados se usaron en el algodonal de la zona costera.</t>
  </si>
  <si>
    <t>1. CÓMO USO LA IA (reglas para el estudiante)</t>
  </si>
  <si>
    <t>Ley de Avogadro Ley de Dalton
Presión parcial
Fracción molar</t>
  </si>
  <si>
    <t>D1 · Pregunta guía: «¿Qué ocurre con las propiedades de una molécula orgánica cuando incorpora azufre, nitrógeno o un halógeno?».</t>
  </si>
  <si>
    <t>6.4. Cálculo de presiones parciales y fracciones molares en mezclas de gases, incluida la recolección de gases sobre agua.</t>
  </si>
  <si>
    <t>E1 · Identifica los grupos funcionales de tioles, tioéteres, aminas primarias, secundarias y terciarias, y haluros de alquilo y arilo.</t>
  </si>
  <si>
    <t>I1 · Investiga en fuentes confiables ejemplos de estos compuestos en medicamentos, plaguicidas, refrigerantes y proteínas.</t>
  </si>
  <si>
    <t>I5 · Justifica por qué nunca se debe oler el gas ni otras sustancias para identificarlas y por qué la detección de fugas requiere ventilar y avisar a un adulto.</t>
  </si>
  <si>
    <t>E6 · Reconoce que las fumarolas de los volcanes salvadoreños emiten mezclas de vapor de agua, CO₂ y SO₂ que afectan a las comunidades.</t>
  </si>
  <si>
    <t>Comunicación (Aproximar)
Elabora un mensaje breve para su familia sobre cómo actuar ante una fuga de gas, basado en la función del tiol añadido.</t>
  </si>
  <si>
    <t>Conocer: identificar los grupos funcionales tiol, tioéter, amina y haluro</t>
  </si>
  <si>
    <t>D1 · Pregunta guía: «¿Qué presión ejerce el SO₂ en una mezcla volcánica si representa una pequeña fracción del total?».</t>
  </si>
  <si>
    <t>1</t>
  </si>
  <si>
    <t>Tabla de compuestos azufrados, nitrogenados y halogenados con grupo funcional, uso y riesgo asociado</t>
  </si>
  <si>
    <t>E2 · Transforma la composición en volumen de una mezcla gaseosa en fracciones molares y presiones parciales.</t>
  </si>
  <si>
    <t>Primero pienso, predigo o mido; después consulto la IA. La IA propone y la evidencia decide.</t>
  </si>
  <si>
    <t>I3 · Argumenta con cálculos de presión parcial por qué debe restarse la presión de vapor del agua al recoger un gas sobre agua.</t>
  </si>
  <si>
    <t>3.10. Reconoce las funciones tioles, tioéteres, aminas, haluros de alquilo y arilo.</t>
  </si>
  <si>
    <t>E3 · Predice cómo cambia la presión parcial de cada gas si se duplica la presión total de la mezcla y justifica.</t>
  </si>
  <si>
    <t>Comunicación (Explicar)
Explica a sus compañeros, con un diagrama de barras, la contribución de cada gas a la presión total de una mezcla.</t>
  </si>
  <si>
    <t>Conocer: definir presión parcial y fracción molar. Aplicar: calcular presiones parciales y fracciones molares</t>
  </si>
  <si>
    <r>
      <rPr>
        <rFont val="Arial"/>
        <color theme="1"/>
        <sz val="9.0"/>
      </rPr>
      <t>1.2 Evaluación de la información – Básico</t>
    </r>
    <r>
      <rPr>
        <rFont val="Arial"/>
        <color rgb="FF7030A0"/>
        <sz val="9.0"/>
      </rPr>
      <t xml:space="preserve">
Con la IA (DigComp 3.0, nivel real): CS1.2.13 – Intermedio: valora qué tan confiable es una fuente, teniendo en cuenta el papel de la IA.</t>
    </r>
  </si>
  <si>
    <t>Hoja de problemas resueltos de mezclas gaseosas con diagrama de presiones parciales</t>
  </si>
  <si>
    <t>2</t>
  </si>
  <si>
    <t>6.4. Calcula presiones parciales de los componentes de una mezcla gaseosa a partir de su fracción molar y de la presión total.</t>
  </si>
  <si>
    <r>
      <rPr>
        <rFont val="Arial"/>
        <color theme="1"/>
        <sz val="9.0"/>
      </rPr>
      <t>Evaluar la fiabilidad de dos fuentes sobre los plaguicidas organoclorados en El Salvador comparando autoría, fecha y evidencia.</t>
    </r>
    <r>
      <rPr>
        <rFont val="Arial"/>
        <color rgb="FF7030A0"/>
        <sz val="9.0"/>
      </rPr>
      <t xml:space="preserve">
IA (Explorar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Relaciona olores conocidos con grupos funcionales: el ajo y la cebolla (tioles y tioéteres), el pescado (aminas) y el tubo de PVC (haluros). Escribe tu predicción de qué átomo explica cada caso. Pregunta al cuaderno de la unidad en NotebookLM: «¿Por qué los tioles huelen más fuerte que los alcoholes y cómo se nombran tioles, aminas y haluros?». Construye la metilamina y el clorometano en el simulador.
Evidencia: Tabla «Olor u objeto · Grupo funcional que predije · Grupo según el cuaderno (Respuesta de IA) · Nombre IUPAC · ¿Coincidió?», con capturas del simulador. Anota una línea en el registro de uso de IA.
Refuerza con: PhET «Construye una molécula» (https://phet.colorado.edu/sims/html/build-a-molecule/latest/build-a-molecule_es.html)
→ PISA D1 · TIMSS Conocer</t>
    </r>
  </si>
  <si>
    <t>Todo lo que dice la IA lo compruebo con mis datos, un simulador o fuentes oficiales (MARN, Observatorio de Amenazas, ANDA, Protección Civil, MINSAL, CENTA). La IA puede equivocarse aunque suene segura.</t>
  </si>
  <si>
    <t>Uso ético de la información
Distingue los datos de estudios científicos de las opiniones y cita ambas fuentes de manera correcta.
↳ Se trabaja en la actividad digital (DigComp 1.2).</t>
  </si>
  <si>
    <t>Oficial
Malla 10.° grado, U5 · 5.10</t>
  </si>
  <si>
    <r>
      <rPr>
        <rFont val="Arial"/>
        <color theme="1"/>
        <sz val="9.0"/>
      </rPr>
      <t>1.1 Navegación, búsqueda y filtrado de información – Básico</t>
    </r>
    <r>
      <rPr>
        <rFont val="Arial"/>
        <color rgb="FF7030A0"/>
        <sz val="9.0"/>
      </rPr>
      <t xml:space="preserve">
Con la IA (DigComp 3.0, nivel real): CS1.2.13 – Intermedio: valora qué tan confiable es una fuente, teniendo en cuenta el papel de la IA.</t>
    </r>
  </si>
  <si>
    <t>3</t>
  </si>
  <si>
    <t>Lo hecho con IA lo rotulo «Respuesta de IA» o «hecho con IA» y lo declaro en mis trabajos.</t>
  </si>
  <si>
    <t>Nomenclatura de tioles, tioéteres, aminas, haluros de alquilo y arilo.</t>
  </si>
  <si>
    <t>3.8. Explicación de la nomenclatura IUPAC para nombrar tioles, tioéteres, aminas, haluros de alquilo y arilo.</t>
  </si>
  <si>
    <r>
      <rPr>
        <rFont val="Arial"/>
        <color theme="1"/>
        <sz val="9.0"/>
      </rPr>
      <t>Buscar en los informes del MARN datos de composición de gases volcánicos y filtrar los que incluyan porcentajes en volumen.</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Busca en una fuente oficial la composición del aire y calcula tú las fracciones molares y la presión parcial del oxígeno a nivel del mar y en la cumbre del volcán de Santa Ana. Pregúntale al cuaderno de NotebookLM: «¿Por qué cuesta más respirar en la altura si el porcentaje de oxígeno no cambia?». Compara su explicación con tus cálculos.
Evidencia: Cálculos de fracciones molares y presiones parciales; «Respuesta de IA» con su cita y ✔/✘. Una línea en tu registro de uso de IA.
Refuerza con: Observatorio de Amenazas (MARN): pronóstico, calidad del aire, hidrología (https://www.snet.gob.sv)
→ PISA E3 · TIMSS Aplicar</t>
    </r>
  </si>
  <si>
    <t>Respeto al medio ambiente, entorno y territorio
Reflexiona sobre las medidas de protección que requieren las comunidades cercanas a volcanes activos ante emisiones de gases.</t>
  </si>
  <si>
    <t>E1 · Recuerda nombres comunes de compuestos, como cloroformo, metilamina y freón, y los compara con los nombres IUPAC.</t>
  </si>
  <si>
    <t>Nuevo (planeador)
Planeador Química I · 8.4</t>
  </si>
  <si>
    <t>E3 · Predice el nombre IUPAC de un haluro de alquilo ramificado y justifica por qué el halógeno se nombra como prefijo.</t>
  </si>
  <si>
    <t>4</t>
  </si>
  <si>
    <t>U7 - Eje integrador: organización</t>
  </si>
  <si>
    <t>Nunca escribo en la IA nombres, fotos de rostros, datos de salud ni datos genéticos de nadie. No subo fotos de personas.</t>
  </si>
  <si>
    <t>E2 · Aplica las reglas IUPAC para nombrar tioles, tioéteres, aminas y haluros de alquilo y arilo, y escribe sus estructuras.</t>
  </si>
  <si>
    <t>E4 · Relaciona la sustitución en el nitrógeno de las aminas con el uso de los localizadores N en su nombre.</t>
  </si>
  <si>
    <t>E3 · Justifica el nombre de moléculas con varios grupos funcionales aplicando el orden de prioridad completo.</t>
  </si>
  <si>
    <t>Creatividad (Reforzar)
Inventa una estrategia mnemotécnica original para recordar el orden de prioridad de los grupos funcionales.</t>
  </si>
  <si>
    <t>Conocer: recordar la prioridad de grupos funcionales. Aplicar: nombrar y formular tioles, tioéteres, aminas y haluros</t>
  </si>
  <si>
    <t>7. Los líquidos y los sólidos</t>
  </si>
  <si>
    <t>Ejercicios resueltos de nomenclatura de quince tioles, tioéteres, aminas y haluros con estructuras</t>
  </si>
  <si>
    <t>Estados de agregación</t>
  </si>
  <si>
    <t>Modelo de partículas
Sólidos, líquidos y gases
Compresibilidad y fluidez</t>
  </si>
  <si>
    <t>5</t>
  </si>
  <si>
    <t>3.12. Emplea nomenclatura IUPAC para nombrar tioles, tioéteres, aminas, haluros de alquilo y arilo.</t>
  </si>
  <si>
    <t>7.1. Comparación de las características de sólidos, líquidos y gases mediante el modelo cinético de partículas.</t>
  </si>
  <si>
    <t>La IA no diagnostica, no da consejos de salud y no decide qué se puede comer, beber, mezclar o tocar, ni qué hacer en una emergencia.</t>
  </si>
  <si>
    <t>2.6 Gestión de la identidad digital – Básico</t>
  </si>
  <si>
    <t>Explica las propiedades de líquidos y sólidos a partir del tipo y la intensidad de las fuerzas entre sus partículas. Interpreta diagramas de fases para predecir el estado de una sustancia a una presión y temperatura dadas y relaciona el comportamiento anómalo del agua con la vida en ríos y lagos.</t>
  </si>
  <si>
    <t>Publicar su estrategia mnemotécnica en el aula virtual con un perfil adecuado que proteja su identidad digital.</t>
  </si>
  <si>
    <t>Convivir
Reconoce en la publicación los aportes de los compañeros que ayudaron a mejorar su estrategia.</t>
  </si>
  <si>
    <t>Oficial
Malla 10.° grado, U5 · 5.12</t>
  </si>
  <si>
    <t>Valoración del agua como sustancia única e indispensable para los ecosistemas y las comunidades. Curiosidad por el origen de las propiedades de los materiales que se usan en la vida diaria y en la tecnología.</t>
  </si>
  <si>
    <t>6</t>
  </si>
  <si>
    <t>La IA gasta energía y agua en grandes centros de datos: la uso con un propósito claro.</t>
  </si>
  <si>
    <t>E1 · Recuerda el modelo de partículas estudiado en grados anteriores y lo aplica al hielo, al agua líquida y al vapor.</t>
  </si>
  <si>
    <t>E3 · Predice qué estado de una misma sustancia será más fácil de comprimir con una jeringa tapada y justifica su predicción.</t>
  </si>
  <si>
    <t>E4 · Representa con diagramas de partículas el orden, la separación y el movimiento en los tres estados de agregación.</t>
  </si>
  <si>
    <t>D4 · Compara la compresibilidad de aire, agua y arena en jeringas tapadas y concluye sobre la separación de sus partículas.</t>
  </si>
  <si>
    <t>7</t>
  </si>
  <si>
    <t>Estereoquímica</t>
  </si>
  <si>
    <t>E3 · Justifica con el modelo por qué los líquidos adoptan la forma del recipiente pero conservan su volumen.</t>
  </si>
  <si>
    <t>Si no hay internet, uso la respuesta de IA impresa en mi ficha. BirdNET y Pl@ntNet funcionan sin conexión.</t>
  </si>
  <si>
    <t>Creatividad (Explicar)
Crea una animación cuadro a cuadro o un modelo con canicas que represente el movimiento de partículas en cada estado.</t>
  </si>
  <si>
    <t>Isómeros constitucionales y estereoisómeros</t>
  </si>
  <si>
    <t>3.9. Caracterización de isómeros constitucionales y estereoisómeros.</t>
  </si>
  <si>
    <t>Conocer: describir los estados de agregación. Razonar: explicar propiedades con el modelo de partículas</t>
  </si>
  <si>
    <t>Diagramas de partículas de los tres estados con tabla de resultados de compresibilidad</t>
  </si>
  <si>
    <t>INDAGACIÓN: Medir e interpretar propiedades de líquidos y sólidos, como la viscosidad, la tensión superficial y los puntos de fusión, para explicarlas mediante las fuerzas entre partículas y predecir cambios de fase con diagramas de fases.</t>
  </si>
  <si>
    <t>7.1. Explica las diferencias de forma, volumen, compresibilidad y fluidez de los tres estados con el modelo cinético de partículas.</t>
  </si>
  <si>
    <t>El estado de agregación y las propiedades de una sustancia dependen del equilibrio entre la energía de sus partículas y las fuerzas que las mantienen unidas. Comprender este equilibrio explica por qué el hielo flota y protege la vida acuática, cómo funciona una olla de presión y cómo se diseñan materiales como el vidrio y las pantallas de cristal líquido.</t>
  </si>
  <si>
    <t>E1 · Recuerda que el butano y el metilpropano tienen la misma fórmula molecular y distintas estructuras.</t>
  </si>
  <si>
    <t>E5 · Propone una explicación de por qué el but-2-eno puede existir en dos formas y el but-1-eno no.</t>
  </si>
  <si>
    <t>E2 · Clasifica isómeros constitucionales de cadena, posición y función, y estereoisómeros geométricos cis-trans y ópticos.</t>
  </si>
  <si>
    <t>2. CÓMO DEJO EVIDENCIA</t>
  </si>
  <si>
    <t>E4 · Construye modelos de isómeros cis-trans del but-2-eno y de isómeros de función del C₂H₆O, y compara sus propiedades con datos.</t>
  </si>
  <si>
    <t>E3 · Justifica el tipo de isomería entre pares de moléculas dados y predice cuáles tendrán propiedades físicas diferentes.</t>
  </si>
  <si>
    <r>
      <rPr>
        <rFont val="Arial"/>
        <color theme="1"/>
        <sz val="9.0"/>
      </rPr>
      <t>2.5 Comportamiento digital – Básico</t>
    </r>
    <r>
      <rPr>
        <rFont val="Arial"/>
        <color rgb="FF7030A0"/>
        <sz val="9.0"/>
      </rPr>
      <t xml:space="preserve">
Con la IA (DigComp 3.0, nivel real): CS1.2.10 – Intermedio: reconoce que la IA puede dar respuestas equivocadas que parecen ciertas y que quien la usa debe verificarlas.</t>
    </r>
  </si>
  <si>
    <t>Creatividad (Explicar)
Diseña un esquema visual original que organice todos los tipos de isomería con ejemplos de moléculas del entorno.</t>
  </si>
  <si>
    <t>Conocer: diferenciar isómeros constitucionales y estereoisómeros. Aplicar: construir modelos de isómeros</t>
  </si>
  <si>
    <t>Colección de modelos de isómeros rotulados y esquema de clasificación de la isomería</t>
  </si>
  <si>
    <t>Formato</t>
  </si>
  <si>
    <t>Cómo se llena</t>
  </si>
  <si>
    <r>
      <rPr>
        <rFont val="Arial"/>
        <color theme="1"/>
        <sz val="9.0"/>
      </rPr>
      <t>Publicar su animación en el foro del aula virtual siguiendo normas de cortesía al comentar los trabajos de otros.</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Llena tres jeringas tapadas con aire, agua y arena y empuja el émbolo: mide cuánto se comprime cada una. Predice tú antes y explica con el modelo de partículas. Pide a la IA: «Explica la compresibilidad de sólidos, líquidos y gases para 10.° grado». Busca en su respuesta alguna imprecisión, por ejemplo que los líquidos «no se comprimen nada», y corrígela con tus datos y el simulador.
Evidencia: Ficha «Yo pienso · La IA dice · Lo comprobé»: predicción, tabla de volúmenes, «Respuesta de IA» con la imprecisión subrayada y su corrección con ✔/✘. Una línea en tu registro de uso de IA.
Refuerza con: PhET «Estados de la materia: Intro» (https://phet.colorado.edu/sims/html/states-of-matter-basics/latest/states-of-matter-basics_es.html)
→ PISA E3 · TIMSS Aplicar</t>
    </r>
  </si>
  <si>
    <t>Convivir
Comenta los trabajos de sus compañeros en el foro con respeto, reconociendo aciertos antes de sugerir mejoras.
↳ Se trabaja en la actividad digital (DigComp 2.5).</t>
  </si>
  <si>
    <t>3.14. Construye modelos de isómeros constitucionales y estereoisómeros.</t>
  </si>
  <si>
    <t>Ficha «Yo pienso · La IA dice · Lo comprobé» (cuaderno)</t>
  </si>
  <si>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Se admiten el grado Celsius (°C), la atmósfera (atm) y el milímetro de mercurio (mmHg) como unidades de uso frecuente. Simbología utilizada para la representación de magnitudes de interés en la unidad: T: temperatura, en kelvin, K, o grados Celsius, °C; Tf: temperatura de fusión; Teb: temperatura de ebullición; P: presión, en pascales, Pa, o atmósferas, atm; Pv: presión de vapor, en pascales, Pa, o milímetros de mercurio, mmHg; η: viscosidad, en pascales segundo, Pa·s; γ: tensión superficial, en newtons por metro, N/m; ρ: densidad, en kilogramos por metro cúbico, kg/m³, o gramos por mililitro, g/mL; h: altura de ascenso capilar, en metros, m.</t>
  </si>
  <si>
    <t>Yo pienso: mi idea, predicción, medición o cálculo antes de consultar. La IA dice: la respuesta rotulada «Respuesta de IA», con la herramienta y la fecha. Lo comprobé: con qué dato, simulador o fuente la verifiqué y mi conclusión.</t>
  </si>
  <si>
    <r>
      <rPr>
        <rFont val="Arial"/>
        <color theme="1"/>
        <sz val="9.0"/>
      </rPr>
      <t>4.2 Protección de datos personales y privacidad – Básico</t>
    </r>
    <r>
      <rPr>
        <rFont val="Arial"/>
        <color rgb="FF7030A0"/>
        <sz val="9.0"/>
      </rPr>
      <t xml:space="preserve">
Con la IA (DigComp 3.0, nivel real): CS1.2.13 – Intermedio: valora qué tan confiable es una fuente, teniendo en cuenta el papel de la IA.</t>
    </r>
  </si>
  <si>
    <t>Nuevo (planeador)
Planeador Química I · 9.1</t>
  </si>
  <si>
    <t>Fuerzas entre partículas</t>
  </si>
  <si>
    <t>Registro de uso de IA (última página del cuaderno)</t>
  </si>
  <si>
    <t>Fuerzas intermoleculares
Tipos de sólidos cristalinos
Energía de cohesión</t>
  </si>
  <si>
    <r>
      <rPr>
        <rFont val="Arial"/>
        <color theme="1"/>
        <sz val="9.0"/>
      </rPr>
      <t>Revisar los permisos que solicita una aplicación de modelado molecular del teléfono y desactivar el acceso a contactos y ubicación.</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Dibuja todos los isómeros que encuentres de C4H10O (alcoholes y éteres) y marca cuáles tienen un carbono quiral. Construye cada uno en el simulador para no repetirlos. Luego pregunta al cuaderno de la unidad en NotebookLM: «¿Qué diferencia hay entre isómeros constitucionales y estereoisómeros?» y clasifica tus estructuras con esa definición.
Evidencia: Tabla «Estructura · Nombre · Tipo de isómero · ¿Tiene carbono quiral?», con la definición del cuaderno rotulada «Respuesta de IA». Indica cuántos isómeros encontraste tú y cuántos agregaste al revisar. Anota una línea en el registro de uso de IA.
Refuerza con: PhET «Construye una molécula» (https://phet.colorado.edu/sims/html/build-a-molecule/latest/build-a-molecule_es.html)
→ PISA E3 · TIMSS Aplicar</t>
    </r>
  </si>
  <si>
    <t>Una línea por uso: fecha · tema · herramienta · qué le pregunté · para qué · cómo lo comprobé · dónde está la evidencia.</t>
  </si>
  <si>
    <t>7.2. Relación entre el tipo de partículas y de fuerzas presentes en un sólido y sus puntos de fusión.</t>
  </si>
  <si>
    <t>Uso ético de la información
Explica a sus compañeros por qué no debe conceder a una aplicación educativa acceso a datos personales innecesarios.
↳ Se trabaja en la actividad digital (DigComp 4.2).</t>
  </si>
  <si>
    <t>E1 · Recuerda los tipos de enlace y de fuerzas intermoleculares estudiados en la unidad anterior.</t>
  </si>
  <si>
    <t>Oficial
Malla 10.° grado, U5 · 5.14</t>
  </si>
  <si>
    <t>D1 · Pregunta guía: «¿Por qué el hielo se funde a 0 °C, la sal a 801 °C y el diamante no se funde en un horno común?».</t>
  </si>
  <si>
    <t>E4 · Construye un organizador que relacione cada tipo de sólido con sus partículas, sus fuerzas y un ejemplo cotidiano.</t>
  </si>
  <si>
    <t>Declaración de uso de IA en mis trabajos</t>
  </si>
  <si>
    <t>I3 · Argumenta con una tabla de puntos de fusión el orden de intensidad de las fuerzas en los cuatro tipos de sólidos.</t>
  </si>
  <si>
    <t>Todo informe, cartel o presentación que usó IA lleva un recuadro: «Así usé la IA: … · Lo que revisé yo: …».</t>
  </si>
  <si>
    <t>E3 · Predice el tipo de sólido de una sustancia desconocida a partir de su punto de fusión, dureza y conductividad.</t>
  </si>
  <si>
    <t>4. Reacción ácido-base</t>
  </si>
  <si>
    <t>Pensamiento crítico (Reforzar)
Analiza críticamente casos que no encajan en la clasificación, como el grafito, y justifica cómo clasificarlos.</t>
  </si>
  <si>
    <t>Equilibrios ácido-base</t>
  </si>
  <si>
    <t>Aplicar: clasificar sólidos por sus fuerzas. Razonar: predecir propiedades a partir del tipo de sólido</t>
  </si>
  <si>
    <t>Organizador gráfico de tipos de sólidos con tabla ordenada de puntos de fusión y justificación</t>
  </si>
  <si>
    <t>7.2. Clasifica sólidos en moleculares, iónicos, covalentes y metálicos según las partículas y fuerzas que los forman y ordena sus puntos de fusión.</t>
  </si>
  <si>
    <t>pH y pOH
Ácidos y bases fuertes
Diluciones</t>
  </si>
  <si>
    <r>
      <rPr>
        <rFont val="Arial"/>
        <color theme="1"/>
        <sz val="9.0"/>
      </rPr>
      <t>5.4 Identificación y atención de necesidades de competencia digital – Básico</t>
    </r>
    <r>
      <rPr>
        <rFont val="Arial"/>
        <color rgb="FF7030A0"/>
        <sz val="9.0"/>
      </rPr>
      <t xml:space="preserve">
Con la IA (DigComp 3.0, nivel real): CS1.2.13 – Intermedio: valora qué tan confiable es una fuente, teniendo en cuenta el papel de la IA.</t>
    </r>
  </si>
  <si>
    <t>4.1. Cálculo y medición del pH y el pOH de disoluciones de ácidos y bases fuertes y de sus diluciones sucesivas.</t>
  </si>
  <si>
    <r>
      <rPr>
        <rFont val="Arial"/>
        <color theme="1"/>
        <sz val="9.0"/>
      </rPr>
      <t>Identificar qué habilidades digitales le faltan para construir tablas dinámicas y buscar un tutorial que le ayude a mejorarlas.</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Clasifica tú como iónico, molecular, covalente o metálico: sal, azúcar, hielo, cuarzo, cobre, grafito y cera. Busca sus puntos de fusión en una fuente oficial y ordénalos. Luego pregúntale al cuaderno de NotebookLM: «¿Qué partículas y qué fuerzas hay en cada tipo de sólido cristalino y cómo se relacionan con su energía de cohesión?». Comprueba si tu orden de puntos de fusión coincide con su explicación.
Evidencia: Tabla «Sólido · Tipo (mío) · Partículas y fuerzas (Respuesta de IA) · Punto de fusión oficial · ✔/✘». Una línea en tu registro de uso de IA.
→ PISA E3 · TIMSS Aplicar</t>
    </r>
  </si>
  <si>
    <t>3. HERRAMIENTAS Y ENLACES</t>
  </si>
  <si>
    <t>E1 · Recuerda la escala de pH de 9.° y reconoce que cada unidad de pH corresponde a un cambio de diez veces en [H₃O⁺].</t>
  </si>
  <si>
    <t>Uso ético de la información
Consulta y cita la fuente de los puntos de fusión que utiliza para ordenar los sólidos.</t>
  </si>
  <si>
    <t>E3 · Predice el pH de una disolución de HCl 0.1 mol/L después de diluirla diez, cien y mil veces, y justifica qué pasa al diluirla un millón de veces.</t>
  </si>
  <si>
    <t>Nuevo (planeador)
Planeador Química I · 9.2</t>
  </si>
  <si>
    <t>E2 · Aplica las relaciones pH = −log[H₃O⁺] y pH + pOH = 14 para calcular el pH de ácidos y bases fuertes, incluidas las bases con dos hidróxidos.</t>
  </si>
  <si>
    <t>D4 · Mide con papel indicador universal o pH-metro el pH de diluciones sucesivas preparadas por la docente y compara los valores medidos con los calculados.</t>
  </si>
  <si>
    <t>Propiedades de los líquidos</t>
  </si>
  <si>
    <t>D3 · Evalúa las fuentes de error entre el pH medido y el calculado, como la calibración del instrumento y la exactitud de las diluciones.</t>
  </si>
  <si>
    <t>Viscosidad
Tensión superficial y capilaridad
Presión de vapor</t>
  </si>
  <si>
    <t>Colaboración (Indagar)
Organiza con su equipo la preparación, medición y registro de las diluciones con roles rotativos y uso de gafas y guantes.</t>
  </si>
  <si>
    <t>7.3. Medición de la viscosidad, la tensión superficial y la capilaridad de líquidos y su relación con las fuerzas intermoleculares.</t>
  </si>
  <si>
    <t>Aplicar: calcular pH y pOH. Razonar: contrastar cálculos con mediciones</t>
  </si>
  <si>
    <t>Herramienta</t>
  </si>
  <si>
    <t>Tabla de pH calculado y medido de cinco diluciones con gráfica de pH contra logaritmo de la concentración</t>
  </si>
  <si>
    <t>Quién la usa</t>
  </si>
  <si>
    <t>Costo y cuenta</t>
  </si>
  <si>
    <t>E6 · Reconoce la importancia de la capilaridad en el ascenso del agua por el suelo y los tallos de las plantas de café.</t>
  </si>
  <si>
    <t>Edad según sus condiciones</t>
  </si>
  <si>
    <t>E5 · Plantea una hipótesis sobre qué líquido será más viscoso entre agua, aceite vegetal y glicerina según sus fuerzas intermoleculares.</t>
  </si>
  <si>
    <t>4.3. Calcula el pH y el pOH de disoluciones de ácidos y bases fuertes y de sus diluciones, y contrasta el cálculo con mediciones experimentales.</t>
  </si>
  <si>
    <t>Internet</t>
  </si>
  <si>
    <t>E1 · Aplica el concepto de fuerzas de cohesión y adhesión para explicar el menisco y el ascenso capilar en tubos delgados.</t>
  </si>
  <si>
    <t>Para qué la usamos</t>
  </si>
  <si>
    <t>D2 · Diseña un experimento para comparar la viscosidad midiendo el tiempo de caída de una canica en probetas con tres líquidos.</t>
  </si>
  <si>
    <t>Temas de la malla</t>
  </si>
  <si>
    <t>D3 · Evalúa la repetibilidad de sus mediciones y propone cómo controlar la temperatura de los líquidos.</t>
  </si>
  <si>
    <t>Enlace oficial</t>
  </si>
  <si>
    <t>Colaboración (Indagar)
Coordina con su equipo la medición simultánea de tiempos de caída y la limpieza del material de laboratorio.</t>
  </si>
  <si>
    <r>
      <rPr>
        <rFont val="Arial"/>
        <color theme="1"/>
        <sz val="9.0"/>
      </rPr>
      <t>5.1 Identificación y resolución de problemas técnicos – Básico</t>
    </r>
    <r>
      <rPr>
        <rFont val="Arial"/>
        <color rgb="FF7030A0"/>
        <sz val="9.0"/>
      </rPr>
      <t xml:space="preserve">
Con la IA (DigComp 3.0, nivel real): CS1.2.10 – Intermedio: reconoce que la IA puede dar respuestas equivocadas que parecen ciertas y que quien la usa debe verificarlas.</t>
    </r>
  </si>
  <si>
    <t>Aplicar: medir propiedades de líquidos. Razonar: relacionar propiedades con fuerzas intermoleculares</t>
  </si>
  <si>
    <t>Informe de laboratorio con tiempos de caída, alturas capilares y explicación por fuerzas intermoleculares</t>
  </si>
  <si>
    <t>7.3. Relaciona la viscosidad, la tensión superficial y la presión de vapor de distintos líquidos con la intensidad de sus fuerzas intermoleculares.</t>
  </si>
  <si>
    <t>NotebookLM (Gemini Notebook)</t>
  </si>
  <si>
    <t>El estudiante</t>
  </si>
  <si>
    <t>Gratis; cuenta institucional</t>
  </si>
  <si>
    <r>
      <rPr>
        <rFont val="Arial"/>
        <color theme="1"/>
        <sz val="9.0"/>
      </rPr>
      <t>Resolver problemas técnicos de calibración del pH-metro con disoluciones patrón y documentar los pasos seguidos.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Calcula tú el pH y el pOH de HCl 0,1 M y de cinco diluciones sucesivas 1:10, y también de NaOH 0,1 M. Comprueba tus valores en el simulador de soluciones ácido-base (no uses ácidos ni bases reales). Luego pide a la IA la misma tabla y revisa la dilución extrema: ¿dice que el pH pasa de 7 al diluir un ácido? Explica por qué no ocurre usando la autoionización del agua.
Evidencia: Tabla «Dilución · Mi pH · pH del simulador · pH de la IA (Respuesta de IA) · ¿Coincide?», con la explicación del caso extremo. Marca ✔ o ✘ en cada fila y anota una línea en el registro de uso de IA.
Refuerza con: PhET «Soluciones ácido-base» (https://phet.colorado.edu/sims/html/acid-base-solutions/latest/acid-base-solutions_es.html) · PhET «Molaridad» (https://phet.colorado.edu/sims/html/molarity/latest/molarity_es.html)
→ PISA D4 · TIMSS Razonar</t>
    </r>
  </si>
  <si>
    <t>Todas las edades con la cuenta institucional; 13 años o más con cuenta personal</t>
  </si>
  <si>
    <r>
      <rPr>
        <rFont val="Arial"/>
        <color theme="1"/>
        <sz val="9.0"/>
      </rPr>
      <t>4.3 Cuidado del bienestar – Básico</t>
    </r>
    <r>
      <rPr>
        <rFont val="Arial"/>
        <color rgb="FF7030A0"/>
        <sz val="9.0"/>
      </rPr>
      <t xml:space="preserve">
Con la IA (DigComp 3.0, nivel real): CS1.2.13 – Intermedio: valora qué tan confiable es una fuente, teniendo en cuenta el papel de la IA.</t>
    </r>
  </si>
  <si>
    <t>Respeto al medio ambiente, entorno y territorio
Neutraliza las diluciones usadas en el recipiente indicado por la docente y nunca las vierte en el desagüe ni en el suelo.</t>
  </si>
  <si>
    <t>Sí</t>
  </si>
  <si>
    <t>agente que responde solo con las fuentes de la unidad</t>
  </si>
  <si>
    <t>10.° 1.1, 10.° 1.8, 10.° 1.11, 10.° 1.14, 10.° 3.1, 10.° 3.2, 10.° 3.3, 10.° 3.4, 10.° 3.8, 10.° 4.3, 10.° 4.4, 10.° 4.6, 10.° 4.8, 10.° 5.5, 10.° 5.7, 10.° 5.12, 10.° 5.13, 10.° 6.1, 10.° 6.2, 10.° 6.4, 10.° 7.2, 10.° 7.3, 10.° 7.4, 10.° 8.1, 10.° 8.4, 10.° 8.6, 10.° 8.7, 10.° 9.1, 10.° 10.2 … (78 en total)</t>
  </si>
  <si>
    <t>Nuevo (planeador)
Planeador Química II · 1.3</t>
  </si>
  <si>
    <r>
      <rPr>
        <rFont val="Arial"/>
        <color theme="1"/>
        <sz val="9.0"/>
      </rPr>
      <t>Alternar el análisis de video de la caída de la canica con pausas activas y mantener una postura adecuada frente a la pantalla.</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Mide el tiempo que tarda una canica en caer 10 cm en agua, aceite y miel; cuenta cuántas gotas de agua y de agua con jabón caben sobre una moneda; mide cuánto sube el agua en tiras de servilleta en 5 minutos. Ordena tú los líquidos y explica con fuerzas intermoleculares. Pregúntale al cuaderno de NotebookLM: «¿Por qué el jabón disminuye la tensión superficial?» y comprueba con tus gotas.
Evidencia: Tres tablas de mediciones; ficha «Yo pienso · La IA dice · Lo comprobé» con la «Respuesta de IA» y su cita; ✔/✘. Una línea en tu registro de uso de IA.
→ PISA D2 · TIMSS Razonar</t>
    </r>
  </si>
  <si>
    <t>Ácidos y bases débiles</t>
  </si>
  <si>
    <t>Constantes Ka y Kb; pKa y pKb
Porcentaje de ionización
Relación Ka · Kb = Kw</t>
  </si>
  <si>
    <t>Convivir
Acuerda con su equipo turnos frente a la computadora para que todos analicen el video sin fatiga.
↳ Se trabaja en la actividad digital (DigComp 4.3).</t>
  </si>
  <si>
    <t>4.2. Cálculo del pH y del porcentaje de ionización de ácidos y bases débiles a partir de sus constantes de ionización.</t>
  </si>
  <si>
    <t>Nuevo (planeador)
Planeador Química I · 9.3</t>
  </si>
  <si>
    <t>E1 · Recuerda de 9.° la expresión de las constantes de ionización y la diferencia cualitativa entre ácidos fuertes y débiles.</t>
  </si>
  <si>
    <t>E3 · Predice si una disolución de ácido acético 0.1 mol/L tendrá el mismo pH que una de HCl 0.1 mol/L y justifica su predicción.</t>
  </si>
  <si>
    <t>E2 · Construye tablas de concentraciones inicial, cambio y equilibrio para calcular el pH de ácidos y bases débiles, y valida la aproximación del 5 %.</t>
  </si>
  <si>
    <t>E4 · Aplica la relación Ka · Kb = Kw para obtener la constante de la base conjugada y ordenar la fuerza de varios pares.</t>
  </si>
  <si>
    <t>E3 · Justifica con cálculos por qué el porcentaje de ionización de un ácido débil aumenta al diluir la disolución.</t>
  </si>
  <si>
    <t>Pensamiento crítico (Reforzar)
Evalúa si la aproximación de ionización pequeña es válida en cada problema y recalcula con la ecuación cuadrática cuando no lo es.</t>
  </si>
  <si>
    <t>Propiedades de los sólidos</t>
  </si>
  <si>
    <t>Aplicar: calcular pH con constantes de equilibrio. Razonar: validar aproximaciones</t>
  </si>
  <si>
    <t>Problemas resueltos de pH y porcentaje de ionización de seis ácidos y bases débiles con validación de aproximaciones</t>
  </si>
  <si>
    <t>4.4. Calcula el pH y el porcentaje de ionización de disoluciones de ácidos y bases débiles a partir de Ka o Kb mediante tablas de equilibrio.</t>
  </si>
  <si>
    <t>Sólidos cristalinos y amorfos
Temperatura de fusión
Sublimación</t>
  </si>
  <si>
    <t>7.4. Análisis de las curvas de calentamiento de sólidos cristalinos y amorfos y del proceso de sublimación.</t>
  </si>
  <si>
    <r>
      <rPr>
        <rFont val="Arial"/>
        <color theme="1"/>
        <sz val="9.0"/>
      </rPr>
      <t>3.4 Pensamiento computacional y programación – Básico</t>
    </r>
    <r>
      <rPr>
        <rFont val="Arial"/>
        <color rgb="FF7030A0"/>
        <sz val="9.0"/>
      </rPr>
      <t xml:space="preserve">
Con la IA (DigComp 3.0, nivel real): CS1.2.13 – Intermedio: valora qué tan confiable es una fuente, teniendo en cuenta el papel de la IA.</t>
    </r>
  </si>
  <si>
    <t>Gemini (Google)</t>
  </si>
  <si>
    <t>E1 · Reconoce sólidos cristalinos, como la sal y el azúcar, y amorfos, como el vidrio, la cera y el plástico.</t>
  </si>
  <si>
    <t>Todas las edades con la cuenta institucional (Google Workspace for Education); 13 años o más con cuenta personal</t>
  </si>
  <si>
    <t>E3 · Predice la forma de la curva de calentamiento de la cera de una vela frente a la del hielo y la justifica.</t>
  </si>
  <si>
    <t>asistente conversacional</t>
  </si>
  <si>
    <r>
      <rPr>
        <rFont val="Arial"/>
        <color theme="1"/>
        <sz val="9.0"/>
      </rPr>
      <t>Programar en una hoja de cálculo o en Python la solución de la ecuación cuadrática del equilibrio y comparar el resultado con la aproximación.</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Lee en la etiqueta del vinagre el porcentaje de ácido acético y conviértelo a molaridad. Con el Ka de la fuente de la unidad, calcula tú el pH y el porcentaje de ionización, y verifica si la aproximación del 5 % es válida. Comprueba en el simulador con un ácido débil de Ka parecido. Luego pregunta al cuaderno de la unidad en NotebookLM: «¿Cuándo es válida la aproximación de x pequeña?» y revisa tu decisión.
Evidencia: Cálculo completo en tu cuaderno (molaridad, pH, % de ionización), captura del simulador y el criterio del cuaderno rotulado «Respuesta de IA». Cierra con «Mi cálculo coincidió en… / corregí…» y una línea en el registro de uso de IA.
Refuerza con: PhET «Soluciones ácido-base» (https://phet.colorado.edu/sims/html/acid-base-solutions/latest/acid-base-solutions_es.html)
→ PISA E4 · TIMSS Razonar</t>
    </r>
  </si>
  <si>
    <t>E2 · Interpreta curvas de calentamiento de un sólido cristalino y uno amorfo identificando mesetas y zonas de ablandamiento.</t>
  </si>
  <si>
    <t>10.° 1.6, 10.° 1.7, 10.° 1.10, 10.° 1.12, 10.° 2.1, 10.° 2.5, 10.° 3.7, 10.° 3.10, 10.° 4.5, 10.° 4.7, 10.° 5.2, 10.° 5.4, 10.° 5.6, 10.° 5.8, 10.° 6.3, 10.° 7.1, 10.° 7.5, 10.° 8.3, 10.° 8.5, 10.° 8.8, 10.° 10.1, 10.° 10.3, 10.° 11.4, 10.° 12.2, 10.° 12.9, 11.° 1.2, 11.° 1.5 … (52 en total)</t>
  </si>
  <si>
    <t>Uso ético de la información
Cita la tabla de constantes de ionización empleada y reconoce los aportes de los compañeros en la revisión del programa.</t>
  </si>
  <si>
    <t>D4 · Analiza los datos de la fusión de hielo y de parafina registrados por la docente y concluye qué sólido es cristalino.</t>
  </si>
  <si>
    <t>E6 · Relaciona la sublimación con la conservación de muestras con hielo seco y con la liofilización del café.</t>
  </si>
  <si>
    <t>Nuevo (planeador)
Planeador Química II · 1.4</t>
  </si>
  <si>
    <t>Comunicación (Explorar)
Describe oralmente las diferencias observadas entre la fusión del hielo y de la parafina usando vocabulario científico preciso.</t>
  </si>
  <si>
    <t>Conocer: diferenciar sólidos cristalinos y amorfos. Aplicar: interpretar curvas de calentamiento</t>
  </si>
  <si>
    <t>Aplicaciones de los equilibrios ácido-base</t>
  </si>
  <si>
    <t>Curvas de calentamiento de hielo y parafina con identificación de mesetas y conclusión escrita</t>
  </si>
  <si>
    <t>Efecto del ion común
Principio de Le Châtelier cuantitativo</t>
  </si>
  <si>
    <t>4.3. Cálculo del pH de disoluciones de ácidos o bases débiles en presencia de un ion común.</t>
  </si>
  <si>
    <t>7.4. Diferencia sólidos cristalinos de amorfos por su punto de fusión definido o su ablandamiento gradual en curvas de calentamiento.</t>
  </si>
  <si>
    <t>E1 · Recuerda el principio de Le Châtelier de 9.° y lo aplica cualitativamente al equilibrio de ionización del ácido acético.</t>
  </si>
  <si>
    <t>E3 · Predice si el pH de una disolución de ácido acético aumentará o disminuirá al agregar acetato de sodio y justifica su predicción.</t>
  </si>
  <si>
    <t>E2 · Calcula con tablas de equilibrio el pH de una disolución de ácido acético 0.1 mol/L con y sin acetato de sodio 0.1 mol/L.</t>
  </si>
  <si>
    <t>D4 · Compara en una tabla el porcentaje de ionización del ácido acético a distintas concentraciones de ion común y concluye sobre la supresión de la ionización.</t>
  </si>
  <si>
    <t>Teachable Machine (Google)</t>
  </si>
  <si>
    <t>E3 · Justifica con los cálculos obtenidos por qué el efecto del ion común es la base del funcionamiento de las disoluciones amortiguadoras.</t>
  </si>
  <si>
    <r>
      <rPr>
        <rFont val="Arial"/>
        <color theme="1"/>
        <sz val="9.0"/>
      </rPr>
      <t>4.1 Protección de dispositivos – Básico</t>
    </r>
    <r>
      <rPr>
        <rFont val="Arial"/>
        <color rgb="FF7030A0"/>
        <sz val="9.0"/>
      </rPr>
      <t xml:space="preserve">
Con la IA (DigComp 3.0, nivel real): CS1.2.13 – Intermedio: valora qué tan confiable es una fuente, teniendo en cuenta el papel de la IA.</t>
    </r>
  </si>
  <si>
    <t>Pensamiento crítico (Indagar)
Contrasta el pH calculado con y sin ion común y explica cuantitativamente la magnitud del desplazamiento del equilibrio.</t>
  </si>
  <si>
    <t>Gratis; sin cuenta</t>
  </si>
  <si>
    <t>Aplicar: calcular pH con ion común. Razonar: explicar desplazamientos del equilibrio</t>
  </si>
  <si>
    <t>No indicada; usar en computadora con Chrome</t>
  </si>
  <si>
    <t>Problemas resueltos de efecto del ion común con tabla comparativa del porcentaje de ionización</t>
  </si>
  <si>
    <t>entrenar un modelo de IA con imágenes, sonidos o posturas</t>
  </si>
  <si>
    <t>10.° 1.13, 10.° 3.5, 10.° 3.9, 10.° 4.2, 10.° 5.10, 10.° 5.14, 10.° 8.2, 10.° 9.3, 10.° 9.4, 11.° 1.4, 11.° 3.13, 11.° 4.6, 11.° 6.11, 11.° 10.5</t>
  </si>
  <si>
    <t>4.7. Calcula el cambio de pH que produce la adición de un ion común a una disolución de ácido o base débil y lo explica con el desplazamiento del equilibrio.</t>
  </si>
  <si>
    <r>
      <rPr>
        <rFont val="Arial"/>
        <color theme="1"/>
        <sz val="9.0"/>
      </rPr>
      <t>2.4 Colaboración a través de tecnologías digitales – Básico</t>
    </r>
    <r>
      <rPr>
        <rFont val="Arial"/>
        <color rgb="FF7030A0"/>
        <sz val="9.0"/>
      </rPr>
      <t xml:space="preserve">
Con la IA (DigComp 3.0, nivel real): CS1.2.13 – Intermedio: valora qué tan confiable es una fuente, teniendo en cuenta el papel de la IA.</t>
    </r>
  </si>
  <si>
    <r>
      <rPr>
        <rFont val="Arial"/>
        <color theme="1"/>
        <sz val="9.0"/>
      </rPr>
      <t>Instalar un visualizador de estructuras cristalinas solo desde la tienda oficial y verificar que el dispositivo tenga el antivirus actualizado.</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Pon hielo picado en un vaso con un termómetro de cocina y mide la temperatura cada 2 minutos mientras se derrite a temperatura ambiente, hasta que el agua se entibie. Grafica tus datos. Predice tú cómo sería la curva de una vela o un vidrio (amorfos). Luego pregúntale al cuaderno de NotebookLM: «¿En qué se diferencian las curvas de calentamiento de un sólido cristalino y uno amorfo?» y compara con tu gráfica.
Evidencia: Gráfica propia temperatura-tiempo con la meseta marcada; «Respuesta de IA» con su cita; ✔/✘ sobre tu predicción del sólido amorfo. Una línea en tu registro de uso de IA.
→ PISA D4 · TIMSS Razonar</t>
    </r>
  </si>
  <si>
    <t>Convivir
Ayuda a sus compañeros a configurar el visualizador de forma segura sin tomar sus dispositivos sin permiso.
↳ Se trabaja en la actividad digital (DigComp 4.1).</t>
  </si>
  <si>
    <t>Nuevo (planeador)
Planeador Química I · 9.4</t>
  </si>
  <si>
    <r>
      <rPr>
        <rFont val="Arial"/>
        <color theme="1"/>
        <sz val="9.0"/>
      </rPr>
      <t>Construir con el equipo, en una hoja de cálculo compartida, una tabla que muestre el porcentaje de ionización para distintas concentraciones de ion común.</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Calcula tú el pH de ácido acético 0,10 M solo y luego con acetato de sodio 0,10 M, usando el Ka de la fuente. Antes, predice con el principio de Le Châtelier si el pH sube o baja. Después pregunta al cuaderno de la unidad en NotebookLM: «¿Cómo cambia el porcentaje de ionización de un ácido débil cuando se agrega su base conjugada?» y compara con tus dos cálculos.
Evidencia: Ficha «Yo pienso · La IA dice · Lo comprobé»: en «Yo pienso», tu predicción con Le Châtelier; en «La IA dice», la respuesta rotulada «Respuesta de IA»; en «Lo comprobé», tus dos cálculos de pH y % de ionización. Marca ✔ o ✘ y anota una línea en el registro de uso de IA.
Refuerza con: PhET «Soluciones ácido-base» (https://phet.colorado.edu/sims/html/acid-base-solutions/latest/acid-base-solutions_es.html)
→ PISA E3 · TIMSS Aplicar</t>
    </r>
  </si>
  <si>
    <t>Convivir
Coordina con respeto la edición de la hoja compartida para que cada integrante aporte sin borrar el trabajo de otros.
↳ Se trabaja en la actividad digital (DigComp 2.4).</t>
  </si>
  <si>
    <t>Diagramas de fases</t>
  </si>
  <si>
    <t>Nuevo (planeador)
Planeador Química II · 2.1</t>
  </si>
  <si>
    <t>Climate TRACE</t>
  </si>
  <si>
    <t>Punto triple
Punto crítico
Curvas de equilibrio</t>
  </si>
  <si>
    <t>7.5. Interpretación de diagramas de fases para predecir el estado de una sustancia a una presión y temperatura dadas.</t>
  </si>
  <si>
    <t>No indicada; sin cuenta</t>
  </si>
  <si>
    <t>Amortiguador bicarbonato en la sangre
Amortiguador fosfato
Acidosis y alcalosis</t>
  </si>
  <si>
    <t>emisiones estimadas con satélites e IA</t>
  </si>
  <si>
    <t>4.4. Análisis cuantitativo de los sistemas amortiguadores biológicos y de las alteraciones del pH sanguíneo.</t>
  </si>
  <si>
    <t>10.° 6.5, 10.° 9.2, 11.° 4.12, 11.° 7.2, 11.° 9.3</t>
  </si>
  <si>
    <t>E6 · Reconoce que el pH de la sangre se mantiene entre 7.35 y 7.45 y que salir de ese intervalo pone en riesgo la vida.</t>
  </si>
  <si>
    <t>E6 · Relaciona el funcionamiento de la olla de presión y la cocción a gran altitud con los cambios del punto de ebullición.</t>
  </si>
  <si>
    <t>E5 · Propone una explicación de por qué la respiración rápida durante el ejercicio intenso modifica el pH de la sangre.</t>
  </si>
  <si>
    <t>D1 · Pregunta guía: «¿Por qué el hielo seco pasa directamente a gas mientras el hielo común se funde?».</t>
  </si>
  <si>
    <t>E2 · Aplica la ecuación de Henderson-Hasselbalch al sistema bicarbonato-ácido carbónico y calcula la razón de concentraciones a pH 7.4 con pKa = 6.1.</t>
  </si>
  <si>
    <t>E2 · Interpreta el diagrama de fases del agua y del CO₂ identificando el punto triple, el punto crítico y las curvas de equilibrio.</t>
  </si>
  <si>
    <t>I3 · Argumenta con el diagrama de fases por qué la pendiente negativa de la curva sólido-líquido del agua es excepcional.</t>
  </si>
  <si>
    <t>E3 · Predice el punto de ebullición del agua en la cumbre del volcán de San Miguel usando el diagrama de fases.</t>
  </si>
  <si>
    <t>Colaboración (Reforzar)
Resuelve en parejas situaciones de cambio de fase y contrasta respuestas para llegar a un consenso argumentado.</t>
  </si>
  <si>
    <t>I3 · Argumenta con datos de gasometrías de casos clínicos simulados si el paciente presenta acidosis o alcalosis y su posible origen respiratorio o metabólico.</t>
  </si>
  <si>
    <t>Conocer: identificar el punto triple y el punto crítico. Aplicar: leer diagramas de fases para determinar el estado de agregación</t>
  </si>
  <si>
    <t>I4 · Critica mensajes de redes sociales que promueven «alcalinizar la sangre» con dietas o productos, usando el funcionamiento de los amortiguadores biológicos.</t>
  </si>
  <si>
    <t>Pl@ntNet</t>
  </si>
  <si>
    <t>Diagramas de fases del agua y del CO₂ rotulados con cinco situaciones resueltas</t>
  </si>
  <si>
    <t>Comunicación (Reforzar)
Redacta un texto divulgativo que refute con argumentos químicos la idea de que la dieta cambia el pH de la sangre.</t>
  </si>
  <si>
    <t>Gratis</t>
  </si>
  <si>
    <t>Todo público</t>
  </si>
  <si>
    <t>Funciona sin internet</t>
  </si>
  <si>
    <t>Aplicar: calcular razones de amortiguadores. Razonar: interpretar datos clínicos y criticar afirmaciones</t>
  </si>
  <si>
    <t>7.5. Predice el estado de agregación del agua y del CO₂ a una presión y temperatura dadas usando su diagrama de fases.</t>
  </si>
  <si>
    <t>reconoce plantas por foto</t>
  </si>
  <si>
    <t>10.° 12.7, 11.° 2.1, 11.° 3.1</t>
  </si>
  <si>
    <t>Análisis escrito de tres casos clínicos simulados con cálculos de Henderson-Hasselbalch y refutación argumentada de un mito</t>
  </si>
  <si>
    <t>4.9. Calcula la razón bicarbonato-ácido carbónico que mantiene el pH sanguíneo en 7.4 y explica con ecuaciones cómo los sistemas amortiguadores responden a la acidosis y la alcalosis.</t>
  </si>
  <si>
    <r>
      <rPr>
        <rFont val="Arial"/>
        <color theme="1"/>
        <sz val="9.0"/>
      </rPr>
      <t>2.6 Gestión de la identidad digital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</si>
  <si>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1.2 Evaluación de la información – Básico</t>
    </r>
    <r>
      <rPr>
        <rFont val="Arial"/>
        <color rgb="FF7030A0"/>
        <sz val="9.0"/>
      </rPr>
      <t xml:space="preserve">
Con la IA (DigComp 3.0, nivel real): CS4.3.04 – Básico: reconoce los límites de la IA para cuidar la salud y el bienestar.</t>
    </r>
  </si>
  <si>
    <r>
      <rPr>
        <rFont val="Arial"/>
        <color theme="1"/>
        <sz val="9.0"/>
      </rPr>
      <t>Publicar su diagrama rotulado en el portafolio del aula virtual con su nombre de usuario escolar, sin datos personales adicionales.</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Con los diagramas de fases del agua y del CO₂ de tu libro, predice tú el estado en tres casos: agua en la cumbre del volcán de Santa Ana, agua en una olla de presión y hielo seco al aire libre. Pide a la IA las mismas predicciones con su explicación. Revisa si confunde el punto triple con el crítico o si ignora la pendiente negativa del agua. Explica por qué el agua hierve a menos de 100 °C en la altura.
Evidencia: Diagramas con tus puntos marcados; tabla «Caso · Mi predicción · Respuesta de IA · ✔/✘» con la corrección de cada error. Una línea en tu registro de uso de IA.
→ PISA E3 · TIMSS Aplicar</t>
    </r>
  </si>
  <si>
    <t>Uso ético de la información
Presenta como propio solo el diagrama que elaboró y referencia los diagramas originales consultados.</t>
  </si>
  <si>
    <r>
      <rPr>
        <rFont val="Arial"/>
        <color theme="1"/>
        <sz val="9.0"/>
      </rPr>
      <t>Evaluar la fiabilidad de publicaciones sobre «agua alcalina» comparando su autoría y evidencia con la de fuentes médicas reconocidas.</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Con el pKa del sistema bicarbonato y el pH normal de la sangre (7,4) del texto de la unidad, calcula tú la razón [HCO3⁻]/[H2CO3]. Repite para pH 7,2 y 7,6 y explica qué es acidosis y alcalosis. Luego pregunta al cuaderno de la unidad en NotebookLM: «¿Cómo regulan los pulmones y los riñones el amortiguador bicarbonato?». No escribas datos de salud tuyos ni de otras personas: la IA no diagnostica.
Evidencia: Tabla «pH · Razón [HCO3⁻]/[H2CO3] calculada · Situación», con la explicación del cuaderno rotulada «Respuesta de IA» y su fuente. Cierra con «La IA acertó en… / se equivocó en…» y una línea en el registro de uso de IA.
→ PISA I4 · TIMSS Aplicar</t>
    </r>
  </si>
  <si>
    <t>Nuevo (planeador)
Planeador Química I · 9.6</t>
  </si>
  <si>
    <t>Convivir
Analiza los casos clínicos con respeto y evita comentarios que expongan la salud de compañeros o familiares.</t>
  </si>
  <si>
    <t>U8 - Eje integrador: sistemas</t>
  </si>
  <si>
    <t>Nuevo (planeador)
Planeador Química II · 2.3</t>
  </si>
  <si>
    <t>Global Nature Watch (antes Global Forest Watch)</t>
  </si>
  <si>
    <t>No indicada</t>
  </si>
  <si>
    <t>Titulaciones y curvas de pH</t>
  </si>
  <si>
    <t>mapas satelitales de bosques analizados con IA</t>
  </si>
  <si>
    <t>Curvas de titulación ácido fuerte-base fuerte
Curvas de titulación ácido débil-base fuerte
Punto de equivalencia y punto de semiequivalencia</t>
  </si>
  <si>
    <t>4.5. Construcción e interpretación de curvas de titulación ácido-base para determinar concentraciones y constantes de ionización.</t>
  </si>
  <si>
    <t>8. Disoluciones y coloides</t>
  </si>
  <si>
    <t>E1 · Recuerda la titulación de 9.° y el concepto de punto de equivalencia, y observa que el pH cambia bruscamente cerca de ese punto.</t>
  </si>
  <si>
    <t>Dispersiones y Coloides</t>
  </si>
  <si>
    <t>E3 · Predice si el punto de equivalencia de la titulación del ácido acético del vinagre con hidróxido de sodio tendrá pH igual, menor o mayor que 7.</t>
  </si>
  <si>
    <t>Fase dispersa y fase dispersante
Disoluciones, coloides y suspensiones
Tamaño de partícula "Efecto Tyndall
Coloides hidrófilos e hidrófobos
Emulsiones y espumas"</t>
  </si>
  <si>
    <t>E2 · Calcula el pH en distintos puntos de una titulación ácido débil-base fuerte: inicio, región amortiguadora, semiequivalencia, equivalencia y exceso de base.</t>
  </si>
  <si>
    <t>8.1. Clasificación de dispersiones según el tamaño de las partículas de la fase dispersa y el estado de las fases.</t>
  </si>
  <si>
    <t>D4 · Titula vinagre con hidróxido de sodio 0.1 mol/L preparado por la docente, registra el pH en cada adición y determina la concentración de ácido acético y su pKa.</t>
  </si>
  <si>
    <t>Prepara disoluciones de concentración conocida y resuelve problemas que integran molaridad, molalidad, fracción molar, dilución y curvas de solubilidad. Calcula el efecto de un soluto sobre las propiedades coligativas y lo aplica a procesos como la ósmosis inversa y la conservación de alimentos.</t>
  </si>
  <si>
    <t>Google Flood Hub</t>
  </si>
  <si>
    <t>Precisión y responsabilidad en la preparación de disoluciones y en el manejo de residuos de laboratorio. Compromiso con el cuidado de la calidad del agua de ríos, lagos y mantos acuíferos de El Salvador.</t>
  </si>
  <si>
    <t>pronóstico de inundaciones con IA</t>
  </si>
  <si>
    <t>D3 · Evalúa la precisión de la titulación comparando los resultados de los equipos y propone mejoras al procedimiento.</t>
  </si>
  <si>
    <t>E1 · Recuerda la clasificación de mezclas homogéneas y heterogéneas estudiada en 8.° y la aplica a muestras cotidianas.</t>
  </si>
  <si>
    <t>Colaboración (Indagar)
Reparte con su equipo las tareas de adición, lectura del pH, registro y seguridad, y comparte los datos con el resto del grupo.</t>
  </si>
  <si>
    <t>D1 · Pregunta guía: «¿Por qué el agua turbia del río Lempa en invierno se aclara al reposar y el agua con sal nunca se separa?».</t>
  </si>
  <si>
    <t>E2 · Organiza en un cuadro las dispersiones según el tamaño de partícula y el estado de la fase dispersa y dispersante.</t>
  </si>
  <si>
    <t>Aplicar: construir y analizar curvas. Razonar: determinar parámetros a partir de datos</t>
  </si>
  <si>
    <t>D4 · Observa la sedimentación y la filtración de agua con tierra, leche diluida y agua salada y concluye qué tipo de dispersión es cada una.</t>
  </si>
  <si>
    <t>Informe de laboratorio con curva de titulación, determinación del punto de equivalencia, concentración del vinagre y pKa</t>
  </si>
  <si>
    <t>E6 · Relaciona la turbidez del agua de los ríos con la erosión del suelo y con los procesos de potabilización.</t>
  </si>
  <si>
    <t>4.10. Interpreta una curva de titulación para determinar la concentración del analito, el pH en el punto de equivalencia y el pKa del ácido débil en el punto de semiequivalencia.</t>
  </si>
  <si>
    <t>Comunicación (Explicar)
Expone a la clase su clasificación de muestras usando el vocabulario de fase dispersa y fase dispersante.</t>
  </si>
  <si>
    <t>Conocer: identificar tipos de dispersiones. Aplicar: clasificar muestras según el tamaño de partícula</t>
  </si>
  <si>
    <t>Cuadro de clasificación de seis dispersiones con resultados de sedimentación y filtración</t>
  </si>
  <si>
    <r>
      <rPr>
        <rFont val="Arial"/>
        <color theme="1"/>
        <sz val="9.0"/>
      </rPr>
      <t>1.3 Gestión de la información – Básico</t>
    </r>
    <r>
      <rPr>
        <rFont val="Arial"/>
        <color rgb="FF7030A0"/>
        <sz val="9.0"/>
      </rPr>
      <t xml:space="preserve">
Con la IA (DigComp 3.0, nivel real): CS1.2.10 – Intermedio: reconoce que la IA puede dar respuestas equivocadas que parecen ciertas y que quien la usa debe verificarlas.</t>
    </r>
  </si>
  <si>
    <t>Seek (iNaturalist)</t>
  </si>
  <si>
    <t>Pensada para familias; sin registro</t>
  </si>
  <si>
    <t>reconoce plantas, animales y hongos con la cámara</t>
  </si>
  <si>
    <t>INDAGACIÓN: Preparar y analizar disoluciones y coloides, relacionando la naturaleza del soluto y del disolvente con la concentración, la solubilidad y las propiedades coligativas, para resolver problemas de laboratorio, de salud y de calidad del agua.</t>
  </si>
  <si>
    <r>
      <rPr>
        <rFont val="Arial"/>
        <color theme="1"/>
        <sz val="9.0"/>
      </rPr>
      <t>Registrar en una hoja de cálculo los datos de pH y volumen, graficar la curva y calcular la primera derivada para ubicar el punto de equivalencia.</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En una hoja de cálculo construye tú la curva de titulación de 25 mL de ácido acético 0,10 M con NaOH 0,10 M (puntos inicial, semiequivalencia, equivalencia y exceso). Luego pídele a la IA: «Dame el pH en el punto de semiequivalencia y en el de equivalencia de esta titulación». Compara con tu curva y verifica que en la semiequivalencia pH = pKa y que la equivalencia queda en pH mayor que 7.
Evidencia: Tu curva graficada con los puntos marcados y una tabla «Punto · Mi pH · pH de la IA (Respuesta de IA) · ¿Coincide?». Encierra cada error de la IA y explica su causa. Anota una línea en el registro de uso de IA.
Refuerza con: PhET «Soluciones ácido-base» (https://phet.colorado.edu/sims/html/acid-base-solutions/latest/acid-base-solutions_es.html)
→ PISA D4 · TIMSS Razonar</t>
    </r>
  </si>
  <si>
    <t>Respeto al medio ambiente, entorno y territorio
Neutraliza el contenido de los vasos de titulación y lo entrega en el recipiente de residuos rotulado por la docente.</t>
  </si>
  <si>
    <t>Nuevo (planeador)
Planeador Química II · 2.4</t>
  </si>
  <si>
    <t>8.1. Clasifica dispersiones en disoluciones, coloides y suspensiones según el tamaño de partícula y justifica sus propiedades observables.</t>
  </si>
  <si>
    <t>La mayor parte de los procesos químicos, biológicos y ambientales ocurre en disoluciones y dispersiones. Expresar y controlar su concentración permite dosificar medicamentos, evaluar la potabilidad del agua, proteger ecosistemas acuáticos y desarrollar tecnologías como la desalinización por ósmosis inversa.</t>
  </si>
  <si>
    <t>Simuladores PhET (no son IA)</t>
  </si>
  <si>
    <t>Indicadores como ácidos débiles
Intervalo de viraje
Selección del indicador</t>
  </si>
  <si>
    <t>4.6. Selección de indicadores ácido-base según su intervalo de viraje y el pH del punto de equivalencia de cada titulación.</t>
  </si>
  <si>
    <t>Gratis; sin cuenta; en español</t>
  </si>
  <si>
    <t>—</t>
  </si>
  <si>
    <t>Se pueden descargar</t>
  </si>
  <si>
    <t>Comprobar con un modelo lo que dice la IA; enlace exacto en cada tema</t>
  </si>
  <si>
    <t>E1 · Recuerda el indicador natural de repollo morado de 9.° y reconoce que su color depende del pH.</t>
  </si>
  <si>
    <t>D1 · Pregunta guía: «¿Por qué la fenolftaleína sirve para titular vinagre pero no para titular amoníaco con ácido clorhídrico?».</t>
  </si>
  <si>
    <r>
      <rPr>
        <rFont val="Arial"/>
        <color theme="1"/>
        <sz val="9.0"/>
      </rPr>
      <t>3.1 Desarrollo de contenidos digitales – Básico</t>
    </r>
    <r>
      <rPr>
        <rFont val="Arial"/>
        <color rgb="FF7030A0"/>
        <sz val="9.0"/>
      </rPr>
      <t xml:space="preserve">
Con la IA (DigComp 3.0, nivel real): CS1.2.13 – Intermedio: valora qué tan confiable es una fuente, teniendo en cuenta el papel de la IA.</t>
    </r>
  </si>
  <si>
    <t>E4 · Explica el funcionamiento de un indicador como un ácido débil HIn cuyo color cambia en el intervalo pKa ± 1.</t>
  </si>
  <si>
    <t>10.° 1.11, 10.° 1.12, 10.° 2.1, 10.° 3.1, 10.° 3.2, 10.° 3.3, 10.° 3.4, 10.° 3.5, 10.° 5.2, 10.° 5.5, 10.° 5.6, 10.° 5.7, 10.° 5.12, 10.° 6.2, 10.° 6.3, 10.° 7.1, 10.° 8.3, 10.° 8.4, 10.° 9.1, 10.° 9.3, 10.° 10.2, 10.° 10.3, 11.° 1.7, 11.° 1.8, 11.° 2.2, 11.° 2.3, 11.° 2.4, 11.° 2.11, 11.° 3.1 … (75 en total)</t>
  </si>
  <si>
    <t>D4 · Superpone los intervalos de viraje de fenolftaleína, azul de bromotimol y naranja de metilo sobre tres curvas de titulación y concluye cuál es adecuado en cada caso.</t>
  </si>
  <si>
    <t>D3 · Evalúa el error de titulación que se cometería al usar un indicador inadecuado y lo estima con la curva.</t>
  </si>
  <si>
    <t>Pensamiento crítico (Explorar)
Justifica con argumentos cuantitativos por qué no existe un indicador universalmente adecuado para todas las titulaciones.</t>
  </si>
  <si>
    <t>Aplicar: relacionar pKa del indicador y viraje. Razonar: seleccionar y justificar</t>
  </si>
  <si>
    <r>
      <rPr>
        <rFont val="Arial"/>
        <color theme="1"/>
        <sz val="9.0"/>
      </rPr>
      <t>Elaborar una presentación digital con fotografías propias de las muestras y un esquema del tamaño de partícula de cada dispersión.</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Prepara vasos con agua y sal, agua con unas gotas de leche y agua con tierra. Filtra cada uno con un filtro de café y deja reposar otra muestra 30 minutos. Clasifica tú cada dispersión como disolución, coloide o suspensión según lo que pasa. Pregúntale al cuaderno de NotebookLM: «¿Qué tamaños de partícula tienen las disoluciones, los coloides y las suspensiones?» y comprueba si tu clasificación encaja.
Evidencia: Tabla «Muestra · ¿Pasa el filtro? · ¿Sedimenta? · Mi clasificación · Respuesta de IA · ✔/✘». Una línea en tu registro de uso de IA.
→ PISA D4 · TIMSS Razonar</t>
    </r>
  </si>
  <si>
    <t>Tabla de selección de indicadores para tres titulaciones con curvas superpuestas y estimación del error de titulación</t>
  </si>
  <si>
    <t>Respeto al medio ambiente, entorno y territorio
Relaciona la turbidez de los ríos con la deforestación de sus cuencas y propone acciones de reforestación.</t>
  </si>
  <si>
    <t>4.11. Selecciona el indicador adecuado para una titulación comparando su intervalo de viraje con el pH del punto de equivalencia de la curva.</t>
  </si>
  <si>
    <r>
      <rPr>
        <rFont val="Arial"/>
        <color theme="1"/>
        <sz val="9.0"/>
      </rPr>
      <t>3.3 Derechos de autor y licencias – Básico</t>
    </r>
    <r>
      <rPr>
        <rFont val="Arial"/>
        <color rgb="FF7030A0"/>
        <sz val="9.0"/>
      </rPr>
      <t xml:space="preserve">
Con la IA (DigComp 3.0, nivel real): CS1.2.13 – Intermedio: valora qué tan confiable es una fuente, teniendo en cuenta el papel de la IA.</t>
    </r>
  </si>
  <si>
    <t>Grok (xAI) — solo si la escuela tiene acceso por el programa nacional</t>
  </si>
  <si>
    <t>Opcional</t>
  </si>
  <si>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la IUPAC recomienda el término «disolución» y el símbolo c para la concentración de cantidad de sustancia. Se admiten el litro (L), el grado Celsius (°C) y la atmósfera (atm) como unidades de uso frecuente. Simbología utilizada para la representación de magnitudes de interés en la unidad: c o M: concentración molar, en moles por litro, mol/L; b o m: molalidad, en moles por kilogramo de disolvente, mol/kg; x: fracción molar, adimensional; % m/m, % m/v y % v/v: porcentajes en masa y en volumen; ppm: partes por millón, en miligramos por litro, mg/L, en disoluciones acuosas diluidas; S: solubilidad, en gramos de soluto por 100 g de agua; ΔTeb: aumento del punto de ebullición, en kelvin, K; ΔTc: descenso del punto de congelación, en kelvin, K; Keb y Kc: constantes ebulloscópica y crioscópica, en K·kg/mol; π: presión osmótica, en atmósferas, atm, o pascales, Pa; i: factor de van't Hoff, adimensional.</t>
  </si>
  <si>
    <t>Acceso por el convenio Gobierno de El Salvador–xAI (11-dic-2025)</t>
  </si>
  <si>
    <t>13 años o más; de 13 a 17 con permiso de madre, padre o tutor</t>
  </si>
  <si>
    <t>Opcional; siempre con Gemini como alternativa gratuita</t>
  </si>
  <si>
    <t>Nuevo (planeador)
Planeador Química I · 10.1</t>
  </si>
  <si>
    <r>
      <rPr>
        <rFont val="Arial"/>
        <color theme="1"/>
        <sz val="9.0"/>
      </rPr>
      <t>Usar imágenes con licencia libre de los cambios de color de los indicadores en una presentación y citar su autoría y licencia.</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Para tres titulaciones (ácido fuerte con base fuerte, ácido débil con base fuerte y base débil con ácido fuerte) estima tú el pH del punto de equivalencia y elige el indicador cuyo intervalo de viraje lo contenga (fenolftaleína, rojo de metilo, azul de bromotimol). Luego pregunta al cuaderno de la unidad en NotebookLM: «¿Por qué un indicador es un ácido débil y cómo se elige?» y revisa tus elecciones.
Evidencia: Tabla «Titulación · pH de equivalencia estimado · Indicador elegido · Intervalo de viraje · Criterio del cuaderno (Respuesta de IA)». Marca ✔ o ✘ y explica cada cambio. Anota una línea en el registro de uso de IA.
Refuerza con: PhET «Escala de pH» (https://phet.colorado.edu/sims/html/ph-scale/latest/ph-scale_es.html)
→ PISA D3 · TIMSS Aplicar</t>
    </r>
  </si>
  <si>
    <t>Uso ético de la información
Verifica la licencia de cada imagen de indicadores y reconoce a sus autores en la presentación.
↳ Se trabaja en la actividad digital (DigComp 3.3).</t>
  </si>
  <si>
    <t>Concentración de las disoluciones</t>
  </si>
  <si>
    <t>Nuevo (planeador)
Planeador Química II · 2.5</t>
  </si>
  <si>
    <t>Molaridad y molalidad
Fracción molar
Partes por millón</t>
  </si>
  <si>
    <t>8.2. Cálculo de la concentración de disoluciones en molaridad, molalidad, fracción molar y partes por millón.</t>
  </si>
  <si>
    <t>5. Reacciones de precipitación</t>
  </si>
  <si>
    <t>Equilibrio de solubilidad</t>
  </si>
  <si>
    <t>E1 · Recuerda las unidades físicas y químicas de concentración estudiadas en 8.° y reconoce cuáles dependen de la temperatura.</t>
  </si>
  <si>
    <t>E3 · Predice si la molaridad o la molalidad de una disolución cambiará al calentarla y justifica su predicción.</t>
  </si>
  <si>
    <t>Producto iónico (Q)
Disolución saturada, insaturada y sobresaturada
Criterio de precipitación</t>
  </si>
  <si>
    <t>E1 · Aplica las definiciones de molalidad y fracción molar para expresar la concentración de disoluciones de glucosa y de cloruro de sodio.</t>
  </si>
  <si>
    <t>Microsoft Copilot</t>
  </si>
  <si>
    <t>5.1. Predicción de la formación de precipitados mediante la comparación del producto iónico con el producto de solubilidad.</t>
  </si>
  <si>
    <t>Alternativa a Gemini</t>
  </si>
  <si>
    <t>D4 · Interpreta la etiqueta de un suero oral y datos de flúor en agua potable y convierte sus concentraciones a varias unidades.</t>
  </si>
  <si>
    <t>Gratis con cuenta Microsoft</t>
  </si>
  <si>
    <t>13 años o más</t>
  </si>
  <si>
    <t>I5 · Justifica qué unidad de concentración conviene usar en trabajos a temperatura variable y en el análisis de trazas.</t>
  </si>
  <si>
    <t>Alternativa cuando no se pueda usar Gemini</t>
  </si>
  <si>
    <t>Pensamiento crítico (Reforzar)
Contrasta ventajas y limitaciones de cada unidad de concentración y decide cuál usar según la situación planteada.</t>
  </si>
  <si>
    <t>Conocer: definir molaridad, molalidad, fracción molar y partes por millón. Aplicar: calcular y convertir concentraciones</t>
  </si>
  <si>
    <t>E1 · Observa la turbidez que aparece al mezclar disoluciones diluidas de nitrato de plata y cloruro de sodio en una demostración de la docente.</t>
  </si>
  <si>
    <t>Hoja de problemas resueltos de conversión entre molaridad, molalidad, fracción molar y ppm</t>
  </si>
  <si>
    <t>D1 · Pregunta guía: «¿Por qué al mezclar dos disoluciones transparentes a veces se forma un sólido y otras veces no?».</t>
  </si>
  <si>
    <t>8.3. Calcula la molalidad y la fracción molar de una disolución y las compara con su molaridad y su concentración en partes por millón.</t>
  </si>
  <si>
    <t>E2 · Interpreta una gráfica de [Ag⁺] frente a [Cl⁻] con la curva de Kps y ubica las zonas de disolución saturada e insaturada.</t>
  </si>
  <si>
    <t>D4 · Calcula Q para cuatro mezclas con concentraciones distintas, lo compara con Kps y concluye en cuáles se forma precipitado.</t>
  </si>
  <si>
    <t>E3 · Predice qué ocurrirá al diluir al doble una mezcla que está justo en el límite de precipitación y justifica con Q.</t>
  </si>
  <si>
    <r>
      <rPr>
        <rFont val="Arial"/>
        <color theme="1"/>
        <sz val="9.0"/>
      </rPr>
      <t>1.3 Gestión de la información – Básico</t>
    </r>
    <r>
      <rPr>
        <rFont val="Arial"/>
        <color rgb="FF7030A0"/>
        <sz val="9.0"/>
      </rPr>
      <t xml:space="preserve">
Con la IA (DigComp 3.0, nivel real): CS1.2.10 – Intermedio: reconoce que la IA puede dar respuestas equivocadas que parecen ciertas y que quien la usa debe verificarlas.</t>
    </r>
  </si>
  <si>
    <t>Comunicación (Explicar)
Explica a un compañero, con la gráfica de la curva de Kps, qué significa que un punto quede por encima o por debajo de ella.</t>
  </si>
  <si>
    <t>Aplicar: calcular el producto iónico tras la mezcla. Razonar: predecir y justificar la precipitación</t>
  </si>
  <si>
    <t>Hoja de cálculo de Q para cuatro mezclas con gráfica de la curva de Kps y conclusión por mezcla</t>
  </si>
  <si>
    <t>5.2. Predice si se forma un precipitado al mezclar dos disoluciones comparando el producto iónico con el Kps de la sal correspondiente.</t>
  </si>
  <si>
    <r>
      <rPr>
        <rFont val="Arial"/>
        <color theme="1"/>
        <sz val="9.0"/>
      </rPr>
      <t>Construir en una hoja de cálculo una tabla de conversión automática entre molaridad, molalidad y fracción molar a partir de la densidad.</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Disuelve tú una cucharadita de sal pesada en balanza de cocina en 250 mL de agua y calcula su molaridad, molalidad, fracción molar y partes por millón. Pide a la IA el mismo cálculo con tus datos. Revisa si confunde kilogramos de disolvente con litros de disolución. Compara con el simulador «Molaridad» y busca en la norma oficial de agua potable el límite de cloruros para comparar.
Evidencia: Tabla «Unidad · Mi resultado · Respuesta de IA · ✔/✘» y una frase comparando tu disolución con el límite oficial. Una línea en tu registro de uso de IA.
Refuerza con: PhET «Molaridad» (https://phet.colorado.edu/sims/html/molarity/latest/molarity_es.html)
→ PISA I5 · TIMSS Aplicar</t>
    </r>
  </si>
  <si>
    <t>Uso ético de la información
Cita la norma o la fuente de donde toma los valores de referencia de flúor en agua potable.</t>
  </si>
  <si>
    <r>
      <rPr>
        <rFont val="Arial"/>
        <color theme="1"/>
        <sz val="9.0"/>
      </rPr>
      <t>5.3 Identificación de soluciones creativas con tecnologías digitales – Básico</t>
    </r>
    <r>
      <rPr>
        <rFont val="Arial"/>
        <color rgb="FF7030A0"/>
        <sz val="9.0"/>
      </rPr>
      <t xml:space="preserve">
Con la IA (DigComp 3.0, nivel real): CS1.2.13 – Intermedio: valora qué tan confiable es una fuente, teniendo en cuenta el papel de la IA.</t>
    </r>
  </si>
  <si>
    <t>Nuevo (planeador)
Planeador Química I · 10.3</t>
  </si>
  <si>
    <t>4. ENLACES DE REFUERZO USADOS EN ESTA MALLA</t>
  </si>
  <si>
    <t>Preparación de disoluciones</t>
  </si>
  <si>
    <t>Soluto sólido
Soluto líquido
Dilución</t>
  </si>
  <si>
    <t>8.3. Preparación de disoluciones de concentración conocida a partir de un soluto sólido y por dilución de una disolución madre.</t>
  </si>
  <si>
    <r>
      <rPr>
        <rFont val="Arial"/>
        <color theme="1"/>
        <sz val="9.0"/>
      </rPr>
      <t>Usar el simulador PhET «Sales y solubilidad» para variar las cantidades de iones y registrar cuándo aparece el precipitado.</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Plantea tres casos de mezcla en papel (por ejemplo, Pb²⁺ y I⁻ a distintas concentraciones) y calcula tú el producto iónico Q después de mezclar. Compáralo con Kps y decide si la disolución queda insaturada, saturada o forma precipitado. Comprueba con el simulador de solubilidad o de molaridad. Luego pregunta al cuaderno de la unidad en NotebookLM: «¿Qué indica comparar Q con Kps?» y revisa tus conclusiones.
Evidencia: Tabla «Caso · Concentraciones tras mezclar · Q · Kps · Mi predicción · Criterio del cuaderno (Respuesta de IA)». Marca ✔ o ✘ y anota una línea en el registro de uso de IA.
Refuerza con: PhET «Molaridad» (https://phet.colorado.edu/sims/html/molarity/latest/molarity_es.html)
→ PISA E3 · TIMSS Aplicar</t>
    </r>
  </si>
  <si>
    <t>Convivir
Comparte el equipo y el tiempo del simulador con su pareja alternando quién manipula y quién registra los datos.</t>
  </si>
  <si>
    <t>E1 · Reconoce el material volumétrico del laboratorio, como el matraz aforado, la pipeta y la balanza, y su uso correcto.</t>
  </si>
  <si>
    <t>ANDA</t>
  </si>
  <si>
    <t>E3 · Predice el volumen de disolución madre de 1.0 mol/L de NaCl necesario para preparar 250 mL de 0.10 mol/L.</t>
  </si>
  <si>
    <t>Nuevo (planeador)
Planeador Química II · 3.4</t>
  </si>
  <si>
    <t>E1 · Aplica la relación c₁V₁ = c₂V₂ y el cálculo de masa de soluto para planificar la preparación de dos disoluciones.</t>
  </si>
  <si>
    <t>D2 · Diseña y ejecuta el procedimiento para preparar una disolución de sulfato de cobre y su dilución, con gafas y guantes.</t>
  </si>
  <si>
    <t>D3 · Evalúa las fuentes de error, como el aforo incorrecto o la pérdida de soluto, y propone cómo reducirlas.</t>
  </si>
  <si>
    <t>Factores que afectan la solubilidad</t>
  </si>
  <si>
    <t>Colaboración (Indagar)
Distribuye en el equipo las tareas de pesado, disolución, aforo y rotulado verificando cada paso en conjunto.</t>
  </si>
  <si>
    <t>Conocer: identificar el material volumétrico. Aplicar: calcular y preparar disoluciones</t>
  </si>
  <si>
    <t>Efecto del ion común
Efecto del pH y de la temperatura
Formación de iones complejos</t>
  </si>
  <si>
    <t>Disoluciones rotuladas con su concentración y protocolo escrito con cálculos y análisis de errores</t>
  </si>
  <si>
    <t>5.2. Análisis del efecto del ion común, del pH, de la temperatura y de la formación de iones complejos sobre la solubilidad de un precipitado.</t>
  </si>
  <si>
    <t>8.4. Prepara disoluciones de concentración conocida pesando un soluto sólido y diluyendo una disolución madre con material volumétrico.</t>
  </si>
  <si>
    <t>E6 · Reconoce que el sarro de las tuberías y ollas en zonas con agua dura se debe a la precipitación de carbonato de calcio.</t>
  </si>
  <si>
    <r>
      <rPr>
        <rFont val="Arial"/>
        <color theme="1"/>
        <sz val="9.0"/>
      </rPr>
      <t>2.4 Colaboración a través de tecnologías digitales – Básico</t>
    </r>
    <r>
      <rPr>
        <rFont val="Arial"/>
        <color rgb="FF7030A0"/>
        <sz val="9.0"/>
      </rPr>
      <t xml:space="preserve">
Con la IA (DigComp 3.0, nivel real): CS1.2.13 – Intermedio: valora qué tan confiable es una fuente, teniendo en cuenta el papel de la IA.</t>
    </r>
  </si>
  <si>
    <t>E5 · Formula una hipótesis sobre por qué el vinagre disuelve el sarro de una olla mientras el agua sola no lo hace.</t>
  </si>
  <si>
    <t>CEL: centrales hidroeléctricas de El Salvador</t>
  </si>
  <si>
    <t>E4 · Modela con el principio de Le Châtelier, visto en 9.°, el desplazamiento del equilibrio de solubilidad al agregar un ion común.</t>
  </si>
  <si>
    <t>D4 · Calcula la solubilidad del hidróxido de magnesio en agua pura y en una disolución con ion común y concluye cuánto disminuye.</t>
  </si>
  <si>
    <t>I5 · Justifica, con base en el efecto del pH, por qué la lluvia ácida acelera el deterioro de monumentos y construcciones de piedra caliza.</t>
  </si>
  <si>
    <t>Creatividad (Reforzar)
Diseña una infografía original que muestre, con un mismo precipitado, el efecto de cuatro factores sobre su solubilidad.</t>
  </si>
  <si>
    <t>Aplicar: calcular la solubilidad con ion común. Razonar: explicar desplazamientos del equilibrio con Le Châtelier</t>
  </si>
  <si>
    <r>
      <rPr>
        <rFont val="Arial"/>
        <color theme="1"/>
        <sz val="9.0"/>
      </rPr>
      <t>Redactar en un documento compartido el protocolo de preparación, con aportes y revisiones de cada integrante del equipo.</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Planifica tú cómo preparar 100 mL de agua con azúcar 0,1 M y luego una dilución 1:10 con jeringa, usando C₁V₁ = C₂V₂. Verifica tu plan con el simulador «Molaridad» y prepáralas. Luego pregúntale al cuaderno de NotebookLM: «¿Cuáles son los pasos correctos para preparar una disolución por dilución?». Compara con lo que hiciste y anota qué mejorarías.
Evidencia: Plan de cálculos, fotos de tus disoluciones rotuladas y tabla «Paso · Lo que hice · Respuesta de IA · ✔/✘». Una línea en tu registro de uso de IA.
Refuerza con: PhET «Molaridad» (https://phet.colorado.edu/sims/html/molarity/latest/molarity_es.html) · PhET «Lab de la ley de Beer» (https://phet.colorado.edu/sims/html/beers-law-lab/latest/beers-law-lab_es.html)
→ PISA D2 · TIMSS Razonar</t>
    </r>
  </si>
  <si>
    <t>Infografía con cuatro factores que afectan la solubilidad y cálculo comparativo de s con y sin ion común</t>
  </si>
  <si>
    <t>Convivir
Colabora en la redacción del protocolo reconociendo las contribuciones de todos y resolviendo desacuerdos con respeto.
↳ Se trabaja en la actividad digital (DigComp 2.4).</t>
  </si>
  <si>
    <t>5.3. Explica con el principio de Le Châtelier cómo el ion común, el pH, la temperatura y la formación de iones complejos modifican la solubilidad de un precipitado.</t>
  </si>
  <si>
    <t>Nuevo (planeador)
Planeador Química I · 10.4</t>
  </si>
  <si>
    <t>Cálculos con disoluciones</t>
  </si>
  <si>
    <t>Conversión entre unidades
Mezcla de disoluciones
Concentración como magnitud intensiva</t>
  </si>
  <si>
    <r>
      <rPr>
        <rFont val="Arial"/>
        <color theme="1"/>
        <sz val="9.0"/>
      </rPr>
      <t>3.3 Derechos de autor y licencias – Básico</t>
    </r>
    <r>
      <rPr>
        <rFont val="Arial"/>
        <color rgb="FF7030A0"/>
        <sz val="9.0"/>
      </rPr>
      <t xml:space="preserve">
Con la IA (DigComp 3.0, nivel real): CS1.2.13 – Intermedio: valora qué tan confiable es una fuente, teniendo en cuenta el papel de la IA.</t>
    </r>
  </si>
  <si>
    <t>8.4. Resolución de problemas de conversión de unidades de concentración, mezcla de disoluciones y estequiometría en disolución.</t>
  </si>
  <si>
    <t>E1 · Recuerda que la concentración es una magnitud intensiva que no depende de la cantidad de muestra tomada.</t>
  </si>
  <si>
    <t>E3 · Predice la concentración final al mezclar dos disoluciones de azúcar de distinta concentración y justifica su estimación.</t>
  </si>
  <si>
    <t>E1 · Aplica la densidad y la masa molar para convertir un porcentaje en masa a molaridad y molalidad.</t>
  </si>
  <si>
    <t>I3 · Argumenta con cálculos si una muestra de agua de pozo con arsénico supera el valor máximo de la norma salvadoreña de agua potable.</t>
  </si>
  <si>
    <t>CENTA</t>
  </si>
  <si>
    <t>I5 · Justifica, con los resultados obtenidos, la necesidad de monitorear la calidad del agua de pozos en comunidades rurales.</t>
  </si>
  <si>
    <r>
      <rPr>
        <rFont val="Arial"/>
        <color theme="1"/>
        <sz val="9.0"/>
      </rPr>
      <t>Elaborar la infografía usando solo imágenes con licencia Creative Commons y citar a cada autor con el tipo de licencia.</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Haz dos experimentos seguros: disuelve azúcar cucharadita por cucharadita en agua fría de refrigerador y en agua a temperatura ambiente, y cuenta cuántas se disuelven; coloca un pedazo de cáscara de huevo en vinagre y otro en agua, y observa durante un día. Predice antes qué pasará. Luego pregunta al cuaderno de la unidad en NotebookLM: «¿Por qué el pH ácido aumenta la solubilidad del carbonato de calcio?».
Evidencia: Ficha «Yo pienso · La IA dice · Lo comprobé»: en «Yo pienso», tus predicciones; en «La IA dice», la respuesta rotulada «Respuesta de IA»; en «Lo comprobé», tus conteos, fotos y la ecuación de disolución del CaCO3. Marca ✔ o ✘ y anota una línea en el registro de uso de IA.
→ PISA D4 · TIMSS Razonar</t>
    </r>
  </si>
  <si>
    <t>Pensamiento crítico (Indagar)
Verifica la coherencia de sus resultados con análisis dimensional y estimaciones de orden de magnitud.</t>
  </si>
  <si>
    <t>Aplicar: resolver problemas de conversión de concentraciones, mezcla de disoluciones y estequiometría en disolución</t>
  </si>
  <si>
    <t>Uso ético de la información
Respeta la autoría de las imágenes empleadas y registra la licencia y el enlace de cada una en la infografía.
↳ Se trabaja en la actividad digital (DigComp 3.3).</t>
  </si>
  <si>
    <t>Informe de problemas resueltos con análisis de una muestra de agua comparada con la norma nacional</t>
  </si>
  <si>
    <t>Nuevo (planeador)
Planeador Química II · 3.5</t>
  </si>
  <si>
    <t>8.5. Resuelve problemas que combinan conversión de unidades de concentración, mezcla de disoluciones y estequiometría en disolución.</t>
  </si>
  <si>
    <t>Precipitación selectiva</t>
  </si>
  <si>
    <r>
      <rPr>
        <rFont val="Arial"/>
        <color theme="1"/>
        <sz val="9.0"/>
      </rPr>
      <t>5.2 Identificación de necesidades y respuestas tecnológicas – Básico</t>
    </r>
    <r>
      <rPr>
        <rFont val="Arial"/>
        <color rgb="FF7030A0"/>
        <sz val="9.0"/>
      </rPr>
      <t xml:space="preserve">
Con la IA (DigComp 3.0, nivel real): CS2.1.10 – Intermedio: formula y mejora instrucciones (prompts) para un asistente de IA.</t>
    </r>
  </si>
  <si>
    <t>Concentración mínima para precipitar
Precipitación fraccionada
Preparación de sales insolubles</t>
  </si>
  <si>
    <t>5.3. Cálculo de la concentración de iones necesaria para iniciar la precipitación y diseño de una separación por precipitación selectiva.</t>
  </si>
  <si>
    <t>Observatorio de Amenazas (MARN): pronóstico, calidad del aire, hidrología</t>
  </si>
  <si>
    <t>E1 · Recuerda que el agua de algunos pozos puede contener iones de calcio, magnesio y metales pesados en distintas concentraciones.</t>
  </si>
  <si>
    <r>
      <rPr>
        <rFont val="Arial"/>
        <color theme="1"/>
        <sz val="9.0"/>
      </rPr>
      <t>Seleccionar la herramienta digital más adecuada, calculadora científica, hoja de cálculo o graficador, para resolver cada tipo de problema.</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Resuelve tú: se mezclan 200 mL de agua con azúcar 0,5 M con 300 mL de 0,2 M; calcula la concentración final en mol/L, % m/v y g/L. Pide a la IA que lo resuelva y luego pregúntale: «¿No es la concentración final la suma de las dos?». Revisa si cede ante tu error intencional. Explica con tu cálculo por qué la concentración es una magnitud intensiva.
Evidencia: Problema resuelto por ti; «Respuesta de IA» antes y después de tu pregunta trampa con ✔/✘; tu explicación de magnitud intensiva. Una línea en tu registro de uso de IA.
→ PISA I5 · TIMSS Aplicar</t>
    </r>
  </si>
  <si>
    <t>D1 · Pregunta guía: «¿Es posible precipitar un ion y dejar el otro en disolución si ambos forman sales poco solubles?».</t>
  </si>
  <si>
    <t>Respeto al medio ambiente, entorno y territorio
Valora la protección de los mantos acuíferos frente a la contaminación con arsénico, plaguicidas y aguas residuales.</t>
  </si>
  <si>
    <t>E2 · Representa matemáticamente la precipitación fraccionada de cloruro y cromato de plata con las expresiones de Kps.</t>
  </si>
  <si>
    <t>Nuevo (planeador)
Planeador Química I · 10.5</t>
  </si>
  <si>
    <t>D2 · Propone un procedimiento por pasos para preparar sulfato de bario insoluble, filtrarlo, lavarlo y secarlo en el laboratorio escolar.</t>
  </si>
  <si>
    <t>D3 · Evalúa el procedimiento de otro grupo, verifica si las concentraciones propuestas logran la separación y sugiere mejoras.</t>
  </si>
  <si>
    <t>Solubilidad</t>
  </si>
  <si>
    <t>Colaboración (Indagar)
Reparte con su equipo los cálculos, la redacción del procedimiento y las medidas de seguridad, e integra un protocolo común.</t>
  </si>
  <si>
    <t>Curvas de solubilidad
Disoluciones saturadas y sobresaturadas
Solubilidad de gases y temperatura</t>
  </si>
  <si>
    <t>Aplicar: calcular concentraciones límite de precipitación. Razonar: diseñar y evaluar una separación</t>
  </si>
  <si>
    <t>8.5. Interpretación de curvas de solubilidad de sólidos y gases en agua en función de la temperatura.</t>
  </si>
  <si>
    <t>Protocolo de precipitación selectiva con cálculos de concentración mínima y medidas de seguridad y de disposición de residuos</t>
  </si>
  <si>
    <t>iNaturalist: observaciones de El Salvador (consulta sin cuenta)</t>
  </si>
  <si>
    <t>5.4. Calcula la concentración mínima de un reactivo precipitante para separar selectivamente dos iones presentes en la misma disolución.</t>
  </si>
  <si>
    <t>E6 · Relaciona la disminución del oxígeno disuelto en aguas calientes con la muerte de peces en ríos y lagos salvadoreños.</t>
  </si>
  <si>
    <t>E5 · Formula una hipótesis sobre por qué agua carbonatada en un recipiente destapado pierde más CO₂ al calentarse que al mantenerse fría.</t>
  </si>
  <si>
    <t>E2 · Lee curvas de solubilidad del KNO₃, NaCl y O₂ y calcula la masa de soluto que cristaliza al enfriar una disolución saturada.</t>
  </si>
  <si>
    <r>
      <rPr>
        <rFont val="Arial"/>
        <color theme="1"/>
        <sz val="9.0"/>
      </rPr>
      <t>2.4 Colaboración a través de tecnologías digitales – Básico</t>
    </r>
    <r>
      <rPr>
        <rFont val="Arial"/>
        <color rgb="FF7030A0"/>
        <sz val="9.0"/>
      </rPr>
      <t xml:space="preserve">
Con la IA (DigComp 3.0, nivel real): CS1.2.10 – Intermedio: reconoce que la IA puede dar respuestas equivocadas que parecen ciertas y que quien la usa debe verificarlas.</t>
    </r>
  </si>
  <si>
    <t>D4 · Construye la curva de solubilidad del KNO₃ con datos obtenidos en una demostración de la docente y concluye sobre su tendencia.</t>
  </si>
  <si>
    <t>I2 · Distingue evidencia de opinión en noticias sobre mortandad de peces, identificando si reportan mediciones de oxígeno disuelto.</t>
  </si>
  <si>
    <t>Colaboración (Explorar)
Comparte con otro equipo sus hipótesis sobre la solubilidad de gases y acuerdan una explicación común.</t>
  </si>
  <si>
    <t>Aplicar: interpretar curvas de solubilidad. Razonar: explicar efectos ambientales de la temperatura</t>
  </si>
  <si>
    <t>Curva de solubilidad del KNO₃ con cálculos de cristalización y análisis del oxígeno disuelto en agua</t>
  </si>
  <si>
    <t>8.7. Interpreta curvas de solubilidad para calcular la masa de soluto que cristaliza al enfriar una disolución y explica la disminución de la solubilidad de los gases con la temperatura.</t>
  </si>
  <si>
    <r>
      <rPr>
        <rFont val="Arial"/>
        <color theme="1"/>
        <sz val="9.0"/>
      </rPr>
      <t>Redactar el protocolo en un documento colaborativo del aula virtual con control de cambios para registrar el aporte de cada integrante.</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Una disolución contiene Cl⁻ y CrO4²⁻ 0,010 M y se agrega Ag⁺ poco a poco (ejercicio en papel). Con los Kps de la unidad, calcula tú la concentración mínima de Ag⁺ para que precipite cada sal y decide cuál precipita primero. Luego pídele a la IA el mismo cálculo. Revisa si usó bien la raíz en el caso del Ag2CrO4 y si su orden de precipitación coincide con el tuyo.
Evidencia: Tabla «Sal · [Ag⁺] mínima (mi cálculo) · [Ag⁺] mínima (Respuesta de IA) · ¿Cuál precipita primero?». Encierra cada error de la IA y explica la corrección. Anota una línea en el registro de uso de IA.
→ PISA D3 · TIMSS Aplicar</t>
    </r>
  </si>
  <si>
    <t>MARN</t>
  </si>
  <si>
    <r>
      <rPr>
        <rFont val="Arial"/>
        <color theme="1"/>
        <sz val="9.0"/>
      </rPr>
      <t>2.2 Compartir a través de tecnologías digitales – Básico</t>
    </r>
    <r>
      <rPr>
        <rFont val="Arial"/>
        <color rgb="FF7030A0"/>
        <sz val="9.0"/>
      </rPr>
      <t xml:space="preserve">
Con la IA (DigComp 3.0, nivel real): CS1.2.13 – Intermedio: valora qué tan confiable es una fuente, teniendo en cuenta el papel de la IA.</t>
    </r>
  </si>
  <si>
    <t>Respeto al medio ambiente, entorno y territorio
Planifica la recolección de los residuos con iones metálicos en un recipiente rotulado para que nunca lleguen al desagüe.</t>
  </si>
  <si>
    <t>Nuevo (planeador)
Planeador Química II · 3.6</t>
  </si>
  <si>
    <r>
      <rPr>
        <rFont val="Arial"/>
        <color theme="1"/>
        <sz val="9.0"/>
      </rPr>
      <t>Compartir en el aula virtual la curva de solubilidad del grupo en un formato abierto para que otros equipos comparen sus datos.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Disuelve azúcar cucharadita a cucharadita en 100 mL de agua fría y en 100 mL de agua tibia del grifo hasta que ya no se disuelva; anota cuántas cupieron. Abre dos refrescos, uno frío y otro a temperatura ambiente, y compara las burbujas. Predice tú antes. Pregúntale al cuaderno de NotebookLM: «¿Cómo cambian con la temperatura la solubilidad de los sólidos y la de los gases?» y compara con tus datos.
Evidencia: Tabla de solubilidad medida; ficha «Yo pienso · La IA dice · Lo comprobé» con la «Respuesta de IA» y su cita; ✔/✘. Una línea en tu registro de uso de IA.
→ PISA D4 · TIMSS Razonar</t>
    </r>
  </si>
  <si>
    <t>Análisis cualitativo de cationes
Grupos analíticos
Marcha analítica</t>
  </si>
  <si>
    <t>Respeto al medio ambiente, entorno y territorio
Reconoce cómo las descargas de agua caliente industrial reducen el oxígeno disuelto y afectan la vida acuática.</t>
  </si>
  <si>
    <t>5.4. Interpretación de una marcha analítica de cationes basada en reacciones de precipitación selectiva.</t>
  </si>
  <si>
    <t>Nuevo (planeador)
Planeador Química I · 10.7</t>
  </si>
  <si>
    <t>MINSAL</t>
  </si>
  <si>
    <t>E6 · Reconoce la importancia del análisis de metales pesados en el agua de ríos como el Lempa y el Acelhuate para la salud pública.</t>
  </si>
  <si>
    <t>Propiedades coligativas</t>
  </si>
  <si>
    <t>D1 · Pregunta guía: «¿Cómo se puede saber qué iones metálicos hay en una muestra de agua si todos son invisibles?».</t>
  </si>
  <si>
    <t>Descenso de la presión de vapor
Aumento ebulloscópico y descenso crioscópico
Presión osmótica</t>
  </si>
  <si>
    <t>E2 · Representa en un esquema de flujo la clasificación de cationes en grupos analíticos según el reactivo que los precipita.</t>
  </si>
  <si>
    <t>8.6. Cálculo de las variaciones de las propiedades coligativas y su aplicación en procesos tecnológicos y biológicos.</t>
  </si>
  <si>
    <t>I3 · Argumenta con los resultados de un video de laboratorio qué cationes contiene una muestra problema y cuáles descarta.</t>
  </si>
  <si>
    <t>I1 · Busca informes de calidad de agua del MARN y selecciona los iones que se determinan por métodos de precipitación.</t>
  </si>
  <si>
    <t>E6 · Reconoce aplicaciones de las propiedades coligativas en la conservación de alimentos con sal o azúcar y en los sueros intravenosos.</t>
  </si>
  <si>
    <t>Comunicación (Reforzar)
Presenta a la clase el esquema de la marcha analítica y explica cada decisión del análisis con vocabulario químico preciso.</t>
  </si>
  <si>
    <t>E3 · Predice si una disolución de NaCl o de glucosa con la misma molalidad tendrá mayor descenso crioscópico y lo justifica.</t>
  </si>
  <si>
    <t>Conocer: reconocer reactivos de grupo. Razonar: deducir la composición de una muestra a partir de observaciones</t>
  </si>
  <si>
    <t>E1 · Aplica las expresiones ΔTeb = i·Keb·b, ΔTc = i·Kc·b y π = i·c·R·T para resolver problemas cuantitativos.</t>
  </si>
  <si>
    <t>Esquema de marcha analítica y dictamen escrito sobre los cationes presentes en una muestra problema</t>
  </si>
  <si>
    <t>D4 · Mide el punto de congelación de agua pura y de disoluciones de sal de distinta molalidad y compara con el valor calculado.</t>
  </si>
  <si>
    <t>I5 · Justifica la conveniencia de una planta desalinizadora por ósmosis inversa en zonas costeras con escasez de agua.</t>
  </si>
  <si>
    <t>5.5. Identifica los cationes presentes en una muestra problema interpretando los precipitados que se forman en una marcha analítica.</t>
  </si>
  <si>
    <t>Creatividad (Reforzar)
Diseña el esquema de un sistema sencillo de purificación de agua por ósmosis que responda a una necesidad de su comunidad.</t>
  </si>
  <si>
    <t>PhET «Soluciones ácido-base»</t>
  </si>
  <si>
    <t>Conocer: describir la ósmosis y la ósmosis inversa. Aplicar: calcular propiedades coligativas</t>
  </si>
  <si>
    <t>Informe con cálculos de propiedades coligativas, datos de congelación medidos y esquema de ósmosis inversa</t>
  </si>
  <si>
    <r>
      <rPr>
        <rFont val="Arial"/>
        <color theme="1"/>
        <sz val="9.0"/>
      </rPr>
      <t>1.2 Evaluación de la información – Básico</t>
    </r>
    <r>
      <rPr>
        <rFont val="Arial"/>
        <color rgb="FF7030A0"/>
        <sz val="9.0"/>
      </rPr>
      <t xml:space="preserve">
Con la IA (DigComp 3.0, nivel real): CS1.2.13 – Intermedio: valora qué tan confiable es una fuente, teniendo en cuenta el papel de la IA.</t>
    </r>
  </si>
  <si>
    <t>8.8. Calcula el aumento del punto de ebullición, el descenso del punto de congelación y la presión osmótica de disoluciones y explica la ósmosis inversa.</t>
  </si>
  <si>
    <r>
      <rPr>
        <rFont val="Arial"/>
        <color theme="1"/>
        <sz val="9.0"/>
      </rPr>
      <t>5.3 Identificación de soluciones creativas con tecnologías digitales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</si>
  <si>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Evaluar la fiabilidad de dos fuentes sobre calidad de agua, una institucional del MARN y otra de un sitio sin autoría, con criterios de autoría y fecha.</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Con la información de la unidad, dibuja tú el diagrama de flujo de la marcha analítica de los primeros grupos de cationes: reactivo de grupo, precipitado formado y lo que queda en disolución. Es un ejercicio en papel: no manipules reactivos. Luego pregunta al cuaderno de la unidad en NotebookLM: «¿Qué catión queda identificado si se forma un precipitado blanco con HCl diluido?» y revisa tu diagrama.
Evidencia: Tu diagrama de flujo con cada precipitado y su Kps, y una lista «Lo que corregí tras consultar el cuaderno» con la respuesta rotulada «Respuesta de IA» y su fuente. Anota una línea en el registro de uso de IA.
→ PISA I1 · TIMSS Aplicar</t>
    </r>
  </si>
  <si>
    <t>Uso ético de la información
Distingue los datos oficiales de las opiniones publicadas en redes y cita con precisión el informe que consultó.
↳ Se trabaja en la actividad digital (DigComp 1.2).</t>
  </si>
  <si>
    <r>
      <rPr>
        <rFont val="Arial"/>
        <color theme="1"/>
        <sz val="9.0"/>
      </rPr>
      <t>Explorar un simulador de ósmosis para variar la concentración a ambos lados de la membrana y registrar la presión osmótica.</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Pon en el congelador un vaso con agua y otro con agua con sal; revisa cada 30 minutos cuál se congela primero. Calcula tú el descenso crioscópico esperado con la masa de sal usada. Pide a la IA el mismo cálculo y revisa si usa el factor de van't Hoff (i = 2 para NaCl). Corta además rodajas de papa en agua sola y en agua con sal y explica la ósmosis que ves después de una hora.
Evidencia: Tabla de observaciones; cálculo propio y «Respuesta de IA» lado a lado con ✔/✘ en el factor i; tu explicación de la papa. Una línea en tu registro de uso de IA.
→ PISA I5 · TIMSS Aplicar</t>
    </r>
  </si>
  <si>
    <t>Nuevo (planeador)
Planeador Química II · 3.7</t>
  </si>
  <si>
    <t>Respeto al medio ambiente, entorno y territorio
Analiza el impacto ambiental de la salmuera que desechan las plantas desalinizadoras sobre los ecosistemas costeros.</t>
  </si>
  <si>
    <t>Nuevo (planeador)
Planeador Química I · 10.8</t>
  </si>
  <si>
    <t>U6 - Eje integrador: energía</t>
  </si>
  <si>
    <t>U9 - Eje integrador: interacciones</t>
  </si>
  <si>
    <t>PhET «Construye un átomo»</t>
  </si>
  <si>
    <t>9. Reacciones químicas</t>
  </si>
  <si>
    <t>Representación de las reacciones químicas</t>
  </si>
  <si>
    <t>Ecuación química
Reactivos y productos
Conservación de la masa</t>
  </si>
  <si>
    <t>9.1. Interpretación de ecuaciones químicas balanceadas con estados de agregación, condiciones de reacción y conservación de átomos y masa.</t>
  </si>
  <si>
    <t>6. Electroquímica</t>
  </si>
  <si>
    <t>Balanceo redox</t>
  </si>
  <si>
    <t>Clasifica reacciones químicas de la vida cotidiana y de la industria salvadoreña a partir de sus ecuaciones y de las evidencias experimentales que produce. Planifica una práctica de laboratorio segura que incluye la identificación de peligros con pictogramas SGA y la disposición responsable de sus residuos.</t>
  </si>
  <si>
    <t>Balanceo de ecuaciones redox por el método ion-electrón</t>
  </si>
  <si>
    <t>6.1. Reconocimiento del balance de masa y carga en las reacciones de oxidación-reducción.</t>
  </si>
  <si>
    <t>Resuelve problemas de electroquímica aplicando la ecuación de Nernst. Relaciona las reacciones de oxidación-reducción con el desarrollo de procesos biológicos.</t>
  </si>
  <si>
    <t>Responsabilidad y cuidado en el manejo de sustancias químicas y de sus residuos en el laboratorio escolar. Interés por reconocer las transformaciones químicas presentes en el entorno cotidiano y productivo.</t>
  </si>
  <si>
    <t>Interés en las aplicaciones tecnológicas y cotidianas de la electroquímica. Responsabilidad ambiental con la manipulación y descarte de dispositivos que involucren celdas electroquímicas.</t>
  </si>
  <si>
    <t>E1 · Recuerda el balanceo por tanteo trabajado en 7.° y lo aplica a la combustión del gas propano de una cocina doméstica.</t>
  </si>
  <si>
    <t>D1 · Pregunta guía: «¿Qué información sobre una reacción se pierde si solo escribimos las fórmulas sin coeficientes ni estados de agregación?».</t>
  </si>
  <si>
    <t>PhET «Balanceo de ecuaciones químicas»</t>
  </si>
  <si>
    <t>E2 · Transforma la descripción verbal de la calcinación de la piedra caliza para obtener cal en una ecuación con estados, condiciones y coeficientes.</t>
  </si>
  <si>
    <t>D4 · Compara la masa de un sistema cerrado de vinagre y bicarbonato antes y después de reaccionar y concluye sobre la conservación de la masa.</t>
  </si>
  <si>
    <t>E3 · Predice qué ocurrirá con la lectura de la balanza si la misma reacción se realiza en un recipiente abierto y justifica la diferencia.</t>
  </si>
  <si>
    <t>Comunicación (Explicar)
Explica a un compañero, con un modelo de bolas y varillas, por qué los coeficientes cambian el número de moléculas pero no las fórmulas.</t>
  </si>
  <si>
    <t>Conocer: identificar reactivos y productos. Aplicar: representar con ecuaciones. Razonar: justificar la conservación de la masa</t>
  </si>
  <si>
    <t>E1 · Recuerda los números de oxidación estudiados en grados anteriores y los asigna a cada átomo en la reacción del hierro con el oxígeno.</t>
  </si>
  <si>
    <t>Ficha con cinco ecuaciones balanceadas anotadas y registro de masas del sistema cerrado y abierto</t>
  </si>
  <si>
    <t>E3 · Pregunta guía: «¿Basta con igualar los átomos para que una ecuación redox quede balanceada?», y justifica su respuesta.</t>
  </si>
  <si>
    <t>INDAGACIÓN: Contrastar las evidencias experimentales de las transformaciones químicas con su representación mediante ecuaciones para clasificar las reacciones y planificar su realización segura en el laboratorio escolar.</t>
  </si>
  <si>
    <t>E2 · Separa una reacción redox en semirreacciones y verifica en cada una la conservación de la masa y de la carga eléctrica.</t>
  </si>
  <si>
    <t>D4 · Analiza cinco ecuaciones «balanceadas» por conteo de átomos y concluye cuáles no conservan la carga ni los electrones transferidos.</t>
  </si>
  <si>
    <t>E3 · Predice el número de electrones transferidos en una reacción nueva antes de balancearla y justifica su predicción.</t>
  </si>
  <si>
    <t>9.1. Interpreta la información cualitativa y cuantitativa que aporta una ecuación química balanceada, incluidos estados de agregación y condiciones de reacción.</t>
  </si>
  <si>
    <t>Pensamiento crítico (Indagar)
Detecta en ecuaciones publicadas en guías de estudio errores de carga y argumenta por qué son incorrectas.</t>
  </si>
  <si>
    <t>Conocer: asignar números de oxidación. Razonar: verificar la conservación de masa y carga</t>
  </si>
  <si>
    <t>Las reacciones químicas reorganizan los átomos de los reactivos para formar productos con propiedades nuevas, y las ecuaciones químicas permiten representarlas conservando la masa y los átomos. Reconocer sus tipos y evidencias, así como manejar con seguridad las sustancias y sus residuos, es la base de la química aplicada a la salud, la industria y la protección del ambiente.</t>
  </si>
  <si>
    <t>Lista de cinco ecuaciones analizadas con la verificación del balance de masa y de carga en cada una</t>
  </si>
  <si>
    <t>INDAGACIÓN: Contrastar observaciones experimentales de procesos redox con los valores de potencial estándar de reducción, para deducir la espontaneidad de una reacción y las aplicaciones de la electroquímica junto a sus consideraciones ambientales.</t>
  </si>
  <si>
    <r>
      <rPr>
        <rFont val="Arial"/>
        <color theme="1"/>
        <sz val="9.0"/>
      </rPr>
      <t>3.1 Desarrollo de contenidos digitales – Básico</t>
    </r>
    <r>
      <rPr>
        <rFont val="Arial"/>
        <color rgb="FF7030A0"/>
        <sz val="9.0"/>
      </rPr>
      <t xml:space="preserve">
Con la IA (DigComp 3.0, nivel real): CS1.2.13 – Intermedio: valora qué tan confiable es una fuente, teniendo en cuenta el papel de la IA.</t>
    </r>
  </si>
  <si>
    <t>6.1. Reconoce que las ecuaciones de oxidación-reducción se deben balancear en masa y carga.</t>
  </si>
  <si>
    <t>PhET «Lab de la ley de Beer»</t>
  </si>
  <si>
    <t>La electroquímica es un área de la química que estudia la interconversión entre la energía química y la eléctrica. Esto se aplica en la producción de sustancias y materiales, y permite el desarrollo de tecnologías que aumentan el bienestar social.</t>
  </si>
  <si>
    <r>
      <rPr>
        <rFont val="Arial"/>
        <color theme="1"/>
        <sz val="9.0"/>
      </rPr>
      <t>Elaborar en un editor de presentaciones una infografía que explique la lectura completa de una ecuación química con símbolos de estado y condiciones.</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Escribe tú con estados de agregación las ecuaciones balanceadas de vinagre con bicarbonato y de la fotosíntesis, e interprétalas en moléculas, moles y gramos. Comprueba el balanceo en el simulador. Luego pregúntale al cuaderno de NotebookLM: «¿Qué información da una ecuación química balanceada y qué no dice?». Compara con tu interpretación.
Evidencia: Ecuaciones con estados; tabla «Moléculas · Moles · Gramos» que muestra la conservación de la masa; «Respuesta de IA» con su cita y ✔/✘. Una línea en tu registro de uso de IA.
Refuerza con: PhET «Balanceo de ecuaciones químicas» (https://phet.colorado.edu/sims/html/balancing-chemical-equations/latest/balancing-chemical-equations_es.html)
→ PISA E3 · TIMSS Aplicar</t>
    </r>
  </si>
  <si>
    <t>Uso ético de la información
Indica la procedencia de las imágenes y ecuaciones de referencia usadas en su infografía y respeta la autoría de sus fuentes.
↳ Se trabaja en la actividad digital (DigComp 3.1).</t>
  </si>
  <si>
    <r>
      <rPr>
        <rFont val="Arial"/>
        <color theme="1"/>
        <sz val="9.0"/>
      </rPr>
      <t>1.2 Evaluación de la información – Básico</t>
    </r>
    <r>
      <rPr>
        <rFont val="Arial"/>
        <color rgb="FF7030A0"/>
        <sz val="9.0"/>
      </rPr>
      <t xml:space="preserve">
Con la IA (DigComp 3.0, nivel real): CS1.2.10 – Intermedio: reconoce que la IA puede dar respuestas equivocadas que parecen ciertas y que quien la usa debe verificarlas.</t>
    </r>
  </si>
  <si>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 sentido de la reacción. ⇌: reacción reversible. Δ sobre la flecha: suministro de calor. ↑: desprendimiento de gas. ↓: formación de precipitado. m: masa, en gramos, g. V: volumen, en mililitros, mL. T: temperatura, en grados Celsius, °C.</t>
  </si>
  <si>
    <r>
      <rPr>
        <rFont val="Arial"/>
        <color theme="1"/>
        <sz val="9.0"/>
      </rPr>
      <t>Evaluar dos páginas web que explican el balanceo redox y detectar cuál presenta ecuaciones sin balance de carga.</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Balancea tú por el método del ion-electrón tres ecuaciones redox (una en medio ácido y una en medio básico). Comprueba al final que se conservan los átomos y la carga total. Luego pídele a la IA que balancee las mismas ecuaciones y verifica su resultado contando átomos y cargas de cada lado. Practica también en el simulador de balanceo.
Evidencia: Tabla «Ecuación · Mi resultado · Resultado de la IA (Respuesta de IA) · Conteo de átomos · Conteo de cargas · ¿Correcta?». Encierra el paso donde la IA se equivocó. Anota una línea en el registro de uso de IA.
Refuerza con: PhET «Balanceo de ecuaciones químicas» (https://phet.colorado.edu/sims/html/balancing-chemical-equations/latest/balancing-chemical-equations_es.html)
→ PISA E3 · TIMSS Aplicar</t>
    </r>
  </si>
  <si>
    <t>PhET «Cargas y campos»</t>
  </si>
  <si>
    <t>Uso ético de la información
Señala los errores de las fuentes consultadas con respeto y cita correctamente la fuente que resultó fiable.
↳ Se trabaja en la actividad digital (DigComp 1.2).</t>
  </si>
  <si>
    <t>Nuevo (planeador)
Planeador Química I · 11.1</t>
  </si>
  <si>
    <t>Clasificación de las reacciones químicas</t>
  </si>
  <si>
    <t>Las unidades de medida, su definición, simbología, prefijos y las reglas de escritura, así como el manejo de cifras a emplear, son las estandarizadas por el Sistema Internacional (SI)^1, de acuerdo con el Reglamento Técnico Salvadoreño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I: corriente eléctrica, en amperes, A.
R: resistencia eléctrica, en ohms, Ω.
V: potencial eléctrico, en volts, V.
E°^celda: voltaje de una celda, también llamado potencial de celda, en volts, V. 
E°: potencial estándar de electrodo, en volts, V.</t>
  </si>
  <si>
    <t>Síntesis y descomposición
Sustitución simple y doble
Combustión</t>
  </si>
  <si>
    <t>9.2. Clasificación de reacciones químicas cotidianas e industriales según la reorganización de sus reactivos y productos.</t>
  </si>
  <si>
    <t>Oficial
Malla 10.° grado, U1 · 1.1</t>
  </si>
  <si>
    <t>E6 · Reconoce reacciones químicas en procesos del país, como la combustión en los ingenios de caña, la oxidación del hierro en la costa y el fraguado de la cal.</t>
  </si>
  <si>
    <t>E5 · Plantea una hipótesis sobre qué patrón común de reorganización de átomos comparten la oxidación del hierro y la formación de óxido de calcio.</t>
  </si>
  <si>
    <t>E4 · Usa modelos de partículas para representar los cinco tipos de reacción e identificar qué enlaces se rompen y cuáles se forman.</t>
  </si>
  <si>
    <t>Electrolitos y celdas galvánicas</t>
  </si>
  <si>
    <t>I3 · Argumenta con las ecuaciones la clasificación de diez reacciones de la vida cotidiana y discute los casos que pertenecen a más de un tipo.</t>
  </si>
  <si>
    <t>E3 · Predice los productos de una reacción de doble sustitución entre disoluciones salinas y justifica si se formará o no un precipitado.</t>
  </si>
  <si>
    <t>Celda galvánica</t>
  </si>
  <si>
    <t>Pensamiento crítico (Indagar)
Evalúa si una misma reacción puede clasificarse en dos categorías y defiende su decisión con criterios explícitos.</t>
  </si>
  <si>
    <t>6.2. Construcción de una celda galvánica con implementos cotidianos.</t>
  </si>
  <si>
    <t>Conocer: identificar los tipos de reacciones químicas. Aplicar: clasificar reacciones del entorno. Razonar: justificar el criterio con la ecuación</t>
  </si>
  <si>
    <t>Cuadro de clasificación de diez reacciones con ecuación, tipo y justificación del criterio usado</t>
  </si>
  <si>
    <t>PhET «Kit de construcción de circuitos: CD»</t>
  </si>
  <si>
    <t>9.2. Clasifica reacciones químicas de su entorno en síntesis, descomposición, sustitución simple, doble sustitución y combustión, justificando su criterio con la ecuación.</t>
  </si>
  <si>
    <t>E6 · Reconoce que las pilas que usa a diario convierten energía química en eléctrica mediante reacciones redox espontáneas.</t>
  </si>
  <si>
    <t>D1 · Pregunta guía: «¿Qué materiales de uso cotidiano permiten obtener una diferencia de potencial medible?».</t>
  </si>
  <si>
    <r>
      <rPr>
        <rFont val="Arial"/>
        <color theme="1"/>
        <sz val="9.0"/>
      </rPr>
      <t>1.1 Navegación, búsqueda y filtrado de información – Básico</t>
    </r>
    <r>
      <rPr>
        <rFont val="Arial"/>
        <color rgb="FF7030A0"/>
        <sz val="9.0"/>
      </rPr>
      <t xml:space="preserve">
Con la IA (DigComp 3.0, nivel real): Competencia 4.4 «Impacto ambiental de las tecnologías digitales»: reconoce que los aparatos y la IA gastan energía y agua (descriptor y nivel por confirmar en el documento oficial).</t>
    </r>
  </si>
  <si>
    <t>E2 · Representa con un esquema rotulado la celda galvánica: ánodo, cátodo, puente salino y sentido de los electrones.</t>
  </si>
  <si>
    <t>D2 · Propone y construye una celda de cobre y zinc con disoluciones salinas, puente de papel y un multímetro para medir el voltaje.</t>
  </si>
  <si>
    <t>E3 · Predice el voltaje si se conectan dos celdas en serie y verifica la predicción con el multímetro.</t>
  </si>
  <si>
    <t>Creatividad (Indagar)
Construye una variante original de la celda con otros electrodos seguros, como clavos galvanizados y alambre de cobre, y compara el voltaje.</t>
  </si>
  <si>
    <r>
      <rPr>
        <rFont val="Arial"/>
        <color theme="1"/>
        <sz val="9.0"/>
      </rPr>
      <t>Buscar y filtrar en fuentes académicas ejemplos de cada tipo de reacción presentes en procesos industriales salvadoreños.</t>
    </r>
    <r>
      <rPr>
        <rFont val="Arial"/>
        <color rgb="FF7030A0"/>
        <sz val="9.0"/>
      </rPr>
      <t xml:space="preserve">
IA (Indagar · el estudiante, solo o en pareja).
Herramienta y medio: Climate TRACE (climatetrace.org) en el navegador, sin cuenta.
Actividad: Clasifica tú 6 reacciones de El Salvador: combustión de gasolina, fabricación de cal, fotosíntesis, oxidación de un clavo, fermentación de la melaza y neutralización de la acidez estomacal con un antiácido. Luego explora en Climate TRACE qué fuentes de combustión emiten más CO₂ en el país y escribe la ecuación de combustión del combustible principal de cada sector.
Evidencia: Tabla «Reacción · Tipo (mío) · Ecuación»; tabla «Sector · Combustible · Ecuación de combustión · Emisiones (estimación con IA, fecha)». Una línea en tu registro de uso de IA.
Refuerza con: MARN (https://www.marn.gob.sv)
→ PISA I3 · TIMSS Razonar</t>
    </r>
  </si>
  <si>
    <t>Aplicar: construir una celda y medir el voltaje. Razonar: relacionar el montaje con el sentido de los electrones</t>
  </si>
  <si>
    <t>Uso ético de la información
Selecciona fuentes identificables y fiables, y registra la referencia de cada ejemplo industrial que incluye en el cuadro.
↳ Se trabaja en la actividad digital (DigComp 1.1).</t>
  </si>
  <si>
    <t>Celda galvánica construida con esquema rotulado y registro de voltajes medidos en una y dos celdas</t>
  </si>
  <si>
    <t>Nuevo (planeador)
Planeador Química I · 11.2</t>
  </si>
  <si>
    <t>6.5. Construye una celda galvánica con implementos cotidianos.</t>
  </si>
  <si>
    <t>Evidencias de las reacciones químicas</t>
  </si>
  <si>
    <t>Cambio de color
Desprendimiento de gas y formación de precipitado
Liberación o absorción de energía</t>
  </si>
  <si>
    <t>9.3. Observación experimental de evidencias de cambio químico en reacciones con reactivos seguros de uso escolar.</t>
  </si>
  <si>
    <r>
      <rPr>
        <rFont val="Arial"/>
        <color theme="1"/>
        <sz val="9.0"/>
      </rPr>
      <t>5.1 Identificación y resolución de problemas técnicos – Básico</t>
    </r>
    <r>
      <rPr>
        <rFont val="Arial"/>
        <color rgb="FF7030A0"/>
        <sz val="9.0"/>
      </rPr>
      <t xml:space="preserve">
Con la IA (DigComp 3.0, nivel real): CS3.1.08 – Intermedio: describe ventajas y límites de usar IA para crear contenidos.</t>
    </r>
  </si>
  <si>
    <t>E1 · Recuerda cambios observados en casa, como el pardeamiento de una manzana cortada o las burbujas del bicarbonato con limón, y los describe.</t>
  </si>
  <si>
    <t>D1 · Pregunta guía: «¿Qué observaciones nos permiten afirmar que ocurrió una reacción química y no solo un cambio físico?».</t>
  </si>
  <si>
    <t>E1 · Aplica el concepto de cambio químico para explicar el precipitado de carbonato de calcio formado al soplar con una pajilla en agua de cal.</t>
  </si>
  <si>
    <t>D2 · Propone un diseño con cuatro estaciones de reactivos seguros (bicarbonato y vinagre, agua de cal, indicador de repollo morado, cloruro de calcio en agua) para registrar evidencias.</t>
  </si>
  <si>
    <t>D3 · Evalúa si la disolución de azúcar o el cambio de estado del agua podrían confundirse con una reacción y cómo mejorar el diseño para distinguirlos.</t>
  </si>
  <si>
    <t>Colaboración (Indagar)
Distribuye roles de registro, medición de temperatura y control de seguridad para rotar por las cuatro estaciones experimentales.</t>
  </si>
  <si>
    <t>PhET «Visión del color»</t>
  </si>
  <si>
    <t>Conocer: identificar evidencias de cambio químico. Razonar: distinguir cambios físicos de químicos</t>
  </si>
  <si>
    <t>Tabla de observaciones de cuatro estaciones con evidencia, ecuación propuesta y fotografías rotuladas</t>
  </si>
  <si>
    <r>
      <rPr>
        <rFont val="Arial"/>
        <color theme="1"/>
        <sz val="9.0"/>
      </rPr>
      <t>Resolver problemas técnicos del multímetro, como la selección de escala o una lectura negativa, siguiendo una lista de verificación.</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Escribe tu propia secuencia de pasos para armar una celda con limones, clavos galvanizados y monedas de cobre que encienda un led. Pídele a la IA: «Escribe instrucciones para armar una celda galvánica con limones». No sigas sus pasos: evalúalos comparándolos con la guía y marca los que sean incorrectos o inseguros. Arma la celda solo con la guía, mide con multímetro si tienes y explica ánodo y cátodo.
Evidencia: Tabla «Paso · Mi versión · Versión de la IA (Respuesta de IA) · Versión de la guía · ¿Correcto y seguro?», foto de tu celda y semirreacciones. Agrega la declaración de uso de IA: «Así usé la IA: … · Lo que revisé yo: …».
Refuerza con: PhET «Kit de construcción de circuitos: CD» (https://phet.colorado.edu/sims/html/circuit-construction-kit-dc/latest/circuit-construction-kit-dc_es.html)
→ PISA D2 · TIMSS Razonar</t>
    </r>
  </si>
  <si>
    <t>9.3. Relaciona cada evidencia observada en el laboratorio (cambio de color, gas, precipitado o variación de temperatura) con la reacción química que la produce.</t>
  </si>
  <si>
    <t>Respeto al medio ambiente, entorno y territorio
Recoge los electrodos y las disoluciones metálicas en recipientes rotulados para su disposición segura, sin verterlos al desagüe.</t>
  </si>
  <si>
    <t>Oficial
Malla 10.° grado, U1 · 1.5</t>
  </si>
  <si>
    <r>
      <rPr>
        <rFont val="Arial"/>
        <color theme="1"/>
        <sz val="9.0"/>
      </rPr>
      <t>5.1 Identificación y resolución de problemas técnicos – Básico</t>
    </r>
    <r>
      <rPr>
        <rFont val="Arial"/>
        <color rgb="FF7030A0"/>
        <sz val="9.0"/>
      </rPr>
      <t xml:space="preserve">
Con la IA (DigComp 3.0, nivel real): CS1.2.08 – Intermedio: reconoce que los datos con que se entrena una IA influyen en qué tan confiable es.</t>
    </r>
  </si>
  <si>
    <t>6.3. Evaluación de una secuencia de instrucciones para la construcción de una celda electroquímica.</t>
  </si>
  <si>
    <t>E1 · Recuerda las partes y funciones de la celda galvánica construida en la clase anterior.</t>
  </si>
  <si>
    <r>
      <rPr>
        <rFont val="Arial"/>
        <color theme="1"/>
        <sz val="9.0"/>
      </rPr>
      <t>Resolver problemas técnicos del termómetro digital o del sensor de temperatura del teléfono al registrar la variación térmica de cada estación.</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Prepara indicador de repollo morado remojando hojas picadas en agua tibia del grifo y agrégalo a vinagre, limón, agua, bicarbonato disuelto y agua con jabón en vasos separados. Escribe antes qué color esperas. Entrena Teachable Machine con fotos de los colores «ácido», «neutro» y «básico» y pruébalo con muestras nuevas. Compara con el simulador «Escala de pH»: ¿cómo cambia el modelo con otra luz?
Evidencia: Fotos rotuladas; tabla «Muestra · Mi predicción · Color · Modelo (hecho con IA) · Simulador · ✔/✘» y un párrafo sobre el efecto de la luz. Una línea en tu registro de uso de IA.
Refuerza con: PhET «Escala de pH» (https://phet.colorado.edu/sims/html/ph-scale/latest/ph-scale_es.html)
→ PISA D2 · TIMSS Razonar</t>
    </r>
  </si>
  <si>
    <t>D1 · Pregunta guía: «¿Qué paso de este procedimiento impediría que la celda funcione?».</t>
  </si>
  <si>
    <t>Convivir
Respeta los turnos de cada estación y deja el material limpio y ordenado para el siguiente grupo.</t>
  </si>
  <si>
    <t>E2 · Representa en un diagrama de flujo la secuencia de instrucciones de construcción de una celda publicada en un video educativo.</t>
  </si>
  <si>
    <t>D3 · Evalúa la secuencia de instrucciones de otro grupo e identifica pasos faltantes, errores de orden o riesgos de seguridad.</t>
  </si>
  <si>
    <t>PhET «Densidad»</t>
  </si>
  <si>
    <t>I4 · Critica las instrucciones de un tutorial que omite el puente salino y explica por qué la celda no puede funcionar.</t>
  </si>
  <si>
    <t>Pensamiento crítico (Indagar)
Evalúa con criterios explícitos una secuencia de instrucciones y justifica cada corrección propuesta.</t>
  </si>
  <si>
    <t>Razonar: evaluar la validez de un procedimiento y justificar correcciones</t>
  </si>
  <si>
    <t>Seguridad en el laboratorio de química</t>
  </si>
  <si>
    <t>Rúbrica de evaluación aplicada a una secuencia de instrucciones con correcciones justificadas</t>
  </si>
  <si>
    <t>Pictogramas SGA
Fichas de datos de seguridad
Disposición de residuos</t>
  </si>
  <si>
    <t>6.6. Evalúa una secuencia de instrucciones para la construcción de una celda electroquímica.</t>
  </si>
  <si>
    <t>9.4. Análisis de pictogramas SGA y fichas de datos de seguridad para planificar el manejo y la disposición de residuos de las reacciones escolares.</t>
  </si>
  <si>
    <t>3.2 Integración y reelaboración de contenidos digitales – Básico</t>
  </si>
  <si>
    <t>Reelaborar las instrucciones de un tutorial en video en un documento propio corregido, citando la fuente original.</t>
  </si>
  <si>
    <t>E6 · Reflexiona sobre las consecuencias de verter residuos químicos al desagüe o al suelo para ríos como el Acelhuate y los mantos acuíferos.</t>
  </si>
  <si>
    <t>D1 · Pregunta guía: «¿Qué información de una etiqueta y de una ficha de seguridad necesitamos antes de manipular un reactivo?».</t>
  </si>
  <si>
    <t>E2 · Interpreta los nueve pictogramas del Sistema Globalmente Armonizado (SGA) y las secciones clave de una ficha de datos de seguridad.</t>
  </si>
  <si>
    <t>I1 · Busca y evalúa fichas de datos de seguridad oficiales de los reactivos usados en la unidad y extrae peligros, equipo de protección y disposición.</t>
  </si>
  <si>
    <t>I5 · Justifica la decisión de neutralizar, recolectar o entregar a la docente cada residuo generado, nunca vertiéndolo al desagüe ni al suelo.</t>
  </si>
  <si>
    <t>Creatividad (Reforzar)
Diseña un cartel de señalización para el laboratorio que comunique con pictogramas y rutas de residuos las reglas de la práctica.</t>
  </si>
  <si>
    <t>Conocer: reconocer pictogramas. Aplicar: interpretar fichas de seguridad. Razonar: decidir la disposición de residuos</t>
  </si>
  <si>
    <t>Protocolo de seguridad y matriz de residuos de una práctica con pictogramas SGA y equipo de protección</t>
  </si>
  <si>
    <t>9.4. Elabora un protocolo de seguridad para una práctica de reacciones químicas que identifica peligros con pictogramas SGA y define la disposición correcta de cada residuo.</t>
  </si>
  <si>
    <t>PhET «Difusión»</t>
  </si>
  <si>
    <t>Uso ético de la información
Reconoce la autoría del tutorial original y distingue sus propias correcciones de las instrucciones del autor.
↳ Se trabaja en la actividad digital (DigComp 3.2).</t>
  </si>
  <si>
    <r>
      <rPr>
        <rFont val="Arial"/>
        <color theme="1"/>
        <sz val="9.0"/>
      </rPr>
      <t>4.4 Protección del medio ambiente – Básico</t>
    </r>
    <r>
      <rPr>
        <rFont val="Arial"/>
        <color rgb="FF7030A0"/>
        <sz val="9.0"/>
      </rPr>
      <t xml:space="preserve">
DigComp 3.0 cambió el nombre de la 4.4: «Impacto ambiental de las tecnologías digitales» (Environmental impacts of digital technologies).
Con la IA (DigComp 3.0, nivel real): CS1.2.10 – Intermedio: reconoce que la IA puede dar respuestas equivocadas que parecen ciertas y que quien la usa debe verificarlas.</t>
    </r>
  </si>
  <si>
    <t>Oficial
Malla 10.° grado, U1 · 1.6</t>
  </si>
  <si>
    <t>Celdas electroquímicas y potenciales redox</t>
  </si>
  <si>
    <t>Celdas electrolíticas</t>
  </si>
  <si>
    <r>
      <rPr>
        <rFont val="Arial"/>
        <color theme="1"/>
        <sz val="9.0"/>
      </rPr>
      <t>Investigar cómo se disponen los residuos químicos y electrónicos del laboratorio escolar y proponer una ruta de gestión que reduzca el impacto ambiental.</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Fotografía, sin abrirlos ni moverlos, las etiquetas de productos de limpieza de tu casa y dibuja los 9 pictogramas SGA. Escribe qué peligro indica cada uno. Entrena Teachable Machine para reconocer 3 pictogramas y pruébalo con fotos nuevas. Si falla, ¿qué pasaría en un laboratorio? Escribe por qué nunca se mezclan productos de limpieza y por qué ninguna IA debe decidir qué mezclar.
Evidencia: Tabla «Pictograma · Peligro · Modelo (hecho con IA) · ✔/✘» y un párrafo sobre los riesgos de confiar la seguridad a una IA. Una línea en tu registro de uso de IA.
→ PISA I1 · TIMSS Razonar</t>
    </r>
  </si>
  <si>
    <t>6.4. Construcción de una celda electrolítica para la descomposición de agua.</t>
  </si>
  <si>
    <t>Respeto al medio ambiente, entorno y territorio
Clasifica y rotula los residuos de la práctica para su gestión responsable y evita cualquier vertido al desagüe o al suelo.
↳ Se trabaja en la actividad digital (DigComp 4.4).</t>
  </si>
  <si>
    <t>PhET «Estados de la materia: Intro»</t>
  </si>
  <si>
    <t>E6 · Reconoce la electrólisis del agua como una vía para producir hidrógeno verde como combustible del futuro.</t>
  </si>
  <si>
    <t>U10 - Eje integrador: organización</t>
  </si>
  <si>
    <t>E5 · Formula una hipótesis sobre la proporción de volúmenes de gas que se formará en cada electrodo.</t>
  </si>
  <si>
    <t>E2 · Escribe las semirreacciones en el ánodo y el cátodo e identifica cuál produce oxígeno y cuál hidrógeno.</t>
  </si>
  <si>
    <t>D4 · Construye una celda electrolítica con una batería de 9 V, electrodos de grafito y agua con sulfato de sodio, mide los volúmenes y concluye.</t>
  </si>
  <si>
    <t>E3 · Predice qué sucedería al usar agua destilada sin electrolito y justifica la predicción con la conductividad.</t>
  </si>
  <si>
    <t>10. Cálculos estequiométricos</t>
  </si>
  <si>
    <t>Relaciones estequiométricas</t>
  </si>
  <si>
    <t>Colaboración (Indagar)
Coordina con su equipo el montaje, la medición de volúmenes y el registro fotográfico del experimento con roles definidos.</t>
  </si>
  <si>
    <t>Interpretación microscópica y macroscópica
Pureza de los reactivos
Concentración de disoluciones</t>
  </si>
  <si>
    <t>Aplicar: escribir semirreacciones de electrólisis. Razonar: relacionar volúmenes con la estequiometría</t>
  </si>
  <si>
    <t>10.1. Cálculo de cantidades de reactivos y productos a partir de ecuaciones balanceadas considerando la pureza de los reactivos y la concentración de disoluciones.</t>
  </si>
  <si>
    <t>Informe de laboratorio con esquema de la celda electrolítica, semirreacciones y relación de volúmenes medida</t>
  </si>
  <si>
    <t>Resuelve problemas estequiométricos que combinan reactivo limitante, pureza de los reactivos, concentración de disoluciones y rendimiento porcentual. Evalúa la eficiencia de procesos químicos consecutivos a partir de la ecuación neta y de datos experimentales.</t>
  </si>
  <si>
    <t>6.7. Construye una celda electrolítica para la descomposición del agua.</t>
  </si>
  <si>
    <r>
      <rPr>
        <rFont val="Arial"/>
        <color theme="1"/>
        <sz val="9.0"/>
      </rPr>
      <t>3.1 Desarrollo de contenidos digitales – Básico</t>
    </r>
    <r>
      <rPr>
        <rFont val="Arial"/>
        <color rgb="FF7030A0"/>
        <sz val="9.0"/>
      </rPr>
      <t xml:space="preserve">
Con la IA (DigComp 3.0, nivel real): CS1.2.13 – Intermedio: valora qué tan confiable es una fuente, teniendo en cuenta el papel de la IA.</t>
    </r>
  </si>
  <si>
    <t>Rigor y honestidad en el manejo de datos y en la presentación de resultados cuantitativos. Valoración del uso eficiente de materias primas y de la reducción de desperdicios en los procesos químicos.</t>
  </si>
  <si>
    <t>PhET «Forma de la molécula»</t>
  </si>
  <si>
    <t>E1 · Recuerda los cálculos en gramos de 8.° y los extiende a la cal viva que se obtiene al calcinar piedra caliza de pureza conocida.</t>
  </si>
  <si>
    <t>E3 · Predice si 100 g de una caliza con 85 % de carbonato de calcio producirán más o menos de 56 g de óxido de calcio y justifica su respuesta.</t>
  </si>
  <si>
    <r>
      <rPr>
        <rFont val="Arial"/>
        <color theme="1"/>
        <sz val="9.0"/>
      </rPr>
      <t>Elaborar un video breve del experimento con narración que explique las semirreacciones y la relación de volúmenes.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Siguiendo la guía, arma una celda electrolítica con agua y bicarbonato, dos minas de lápiz como electrodos y una pila de 9 V (nunca la toma de corriente, lejos de llamas). Recoge los gases en dos jeringas sin aguja llenas de la disolución y mide sus volúmenes cada 5 minutos. Predice antes la proporción. Luego pregunta al cuaderno de la unidad en NotebookLM: «¿Por qué se obtiene el doble de hidrógeno que de oxígeno?».
Evidencia: Tabla «Tiempo · Volumen en cátodo · Volumen en ánodo · Proporción», las semirreacciones y la explicación rotulada «Respuesta de IA». Cierra con «La IA acertó en… / se equivocó en…» y una línea en el registro de uso de IA.
Refuerza con: PhET «Propiedades de los gases» (https://phet.colorado.edu/sims/html/gas-properties/latest/gas-properties_es.html)
→ PISA D4 · TIMSS Razonar</t>
    </r>
  </si>
  <si>
    <t>E2 · Traduce una ecuación balanceada entre la escala de partículas, la de moles y la de masas mediante un diagrama de factores de conversión.</t>
  </si>
  <si>
    <t>Respeto al medio ambiente, entorno y territorio
Valora la producción de hidrógeno por electrólisis con energía renovable, como la geotérmica de Ahuachapán y Berlín, frente a los combustibles fósiles.</t>
  </si>
  <si>
    <t>D4 · Interpreta datos de una neutralización de antiácido con ácido clorhídrico diluido realizada por la docente y calcula la pureza del principio activo.</t>
  </si>
  <si>
    <t>I5 · Justifica la cantidad de reactivo que debe comprarse para un proceso según su pureza y el costo del material desperdiciado.</t>
  </si>
  <si>
    <t>Oficial
Malla 10.° grado, U1 · 1.7</t>
  </si>
  <si>
    <t>Pensamiento crítico (Explorar)
Contrasta la predicción inicial con el resultado calculado y explica qué supuesto del razonamiento era incorrecto.</t>
  </si>
  <si>
    <t>Aplicar: calcular cantidades de reactivos y productos con pureza y concentración</t>
  </si>
  <si>
    <t>Serie de problemas resueltos con diagrama de factores de conversión y análisis de pureza de una muestra</t>
  </si>
  <si>
    <t>INDAGACIÓN: Aplicar relaciones estequiométricas a situaciones experimentales e industriales para determinar reactivos limitantes, rendimientos y cantidades de materia prima necesarias, y evaluar la eficiencia de los procesos.</t>
  </si>
  <si>
    <t>Potenciales redox</t>
  </si>
  <si>
    <t>6.5. Deducción de la espontaneidad de una reacción de oxidación-reducción con base en el potencial de celda.</t>
  </si>
  <si>
    <t>E1 · Recuerda que en la celda de zinc y cobre el zinc se oxida espontáneamente y el cobre se deposita.</t>
  </si>
  <si>
    <t>E3 · Pregunta guía: «¿Se puede saber si una reacción redox es espontánea sin realizarla en el laboratorio?», y justifica su respuesta.</t>
  </si>
  <si>
    <t>PhET «Propiedades de los gases»</t>
  </si>
  <si>
    <t>E2 · Calcula el potencial estándar de celda con la tabla de potenciales de reducción para seis pares redox.</t>
  </si>
  <si>
    <t>D4 · Contrasta el signo del potencial calculado con observaciones en videos de reacciones de metales con disoluciones y concluye.</t>
  </si>
  <si>
    <t>E3 · Predice si una lámina de hierro reaccionará con una disolución de sulfato de cobre y justifica con E°celda.</t>
  </si>
  <si>
    <t>Comunicación (Reforzar)
Comunica en un cartel científico la regla de espontaneidad basada en el potencial de celda con tres ejemplos resueltos.</t>
  </si>
  <si>
    <t>Aplicar: calcular E°celda. Razonar: deducir la espontaneidad y contrastarla con observaciones</t>
  </si>
  <si>
    <t>Tabla de seis reacciones con E°celda calculado, predicción de espontaneidad y contraste con observaciones</t>
  </si>
  <si>
    <t>6.8. Deduce si una reacción de oxidación-reducción es espontánea con base en el potencial de celda.</t>
  </si>
  <si>
    <r>
      <rPr>
        <rFont val="Arial"/>
        <color theme="1"/>
        <sz val="9.0"/>
      </rPr>
      <t>5.3 Identificación de soluciones creativas con tecnologías digitales – Básico</t>
    </r>
    <r>
      <rPr>
        <rFont val="Arial"/>
        <color rgb="FF7030A0"/>
        <sz val="9.0"/>
      </rPr>
      <t xml:space="preserve">
Con la IA (DigComp 3.0, nivel real): CS1.2.13 – Intermedio: valora qué tan confiable es una fuente, teniendo en cuenta el papel de la IA.</t>
    </r>
  </si>
  <si>
    <t>10.1. Calcula masas, cantidades de sustancia y volúmenes de disolución de reactivos y productos incorporando la pureza y la concentración en sus cálculos.</t>
  </si>
  <si>
    <t>Las ecuaciones químicas balanceadas establecen proporciones fijas entre las cantidades de sustancia que reaccionan y se producen. Con ellas la industria calcula materias primas, prevé desperdicios y optimiza rendimientos, lo que reduce costos e impacto ambiental.</t>
  </si>
  <si>
    <r>
      <rPr>
        <rFont val="Arial"/>
        <color theme="1"/>
        <sz val="9.0"/>
      </rPr>
      <t>Usar un simulador de celdas galvánicas para comprobar el voltaje de distintos pares de metales y comparar con la tabla de potenciales.</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Con la tabla de potenciales estándar de la unidad, calcula tú E°celda para cuatro pares (Zn/Cu, Cu/Ag, Fe/Zn, Mg/Cu) y decide si cada reacción es espontánea. Calcula también ΔG° = −nFE°. Luego pregunta al cuaderno de la unidad en NotebookLM: «¿Por qué un E°celda positivo indica espontaneidad?» y revisa tus signos.
Evidencia: Tabla «Par · Ánodo · Cátodo · E°celda · ΔG° · ¿Espontánea?», con la explicación del cuaderno rotulada «Respuesta de IA». Marca ✔ o ✘ en cada fila tras revisar y anota una línea en el registro de uso de IA.
→ PISA E3 · TIMSS Aplicar</t>
    </r>
  </si>
  <si>
    <t>Convivir
Escucha las explicaciones de sus compañeros y respeta los turnos al comparar resultados con el simulador.</t>
  </si>
  <si>
    <t>PhET «Expresión génica: fundamentos»</t>
  </si>
  <si>
    <t>Oficial
Malla 10.° grado, U1 · 1.8</t>
  </si>
  <si>
    <r>
      <rPr>
        <rFont val="Arial"/>
        <color theme="1"/>
        <sz val="9.0"/>
      </rPr>
      <t>3.4 Pensamiento computacional y programación – Básico</t>
    </r>
    <r>
      <rPr>
        <rFont val="Arial"/>
        <color rgb="FF7030A0"/>
        <sz val="9.0"/>
      </rPr>
      <t xml:space="preserve">
Con la IA (DigComp 3.0, nivel real): CS1.2.10 – Intermedio: reconoce que la IA puede dar respuestas equivocadas que parecen ciertas y que quien la usa debe verificarlas.</t>
    </r>
  </si>
  <si>
    <t>Aplicaciones de la electroquímica</t>
  </si>
  <si>
    <t>6.6. Reconocimiento de aplicaciones de la electroquímica y sus impactos.</t>
  </si>
  <si>
    <t>E6 · Reconoce aplicaciones cotidianas de la electroquímica como baterías de teléfonos, galvanoplastia y protección de estructuras.</t>
  </si>
  <si>
    <t>E5 · Formula una hipótesis sobre qué ocurre con los metales de las pilas y baterías cuando se desechan con la basura común.</t>
  </si>
  <si>
    <t>E1 · Describe el funcionamiento químico de una batería de ion litio y de un acumulador de plomo usado en vehículos.</t>
  </si>
  <si>
    <t>I1 · Busca información del MARN sobre el manejo de pilas y baterías usadas y los puntos de acopio disponibles en su municipio.</t>
  </si>
  <si>
    <t>I5 · Justifica por qué las pilas y baterías usadas deben entregarse en puntos de acopio y no depositarse en la basura común.</t>
  </si>
  <si>
    <t>Creatividad (Reforzar)
Diseña una campaña escolar creativa para promover la entrega de pilas y baterías usadas en puntos de acopio.</t>
  </si>
  <si>
    <t>Conocer: describir aplicaciones. Razonar: evaluar impactos ambientales y justificar decisiones</t>
  </si>
  <si>
    <r>
      <rPr>
        <rFont val="Arial"/>
        <color theme="1"/>
        <sz val="9.0"/>
      </rPr>
      <t>Programar en una hoja de cálculo o en Python sencillo un algoritmo que convierta masa impura, pureza y masa molar en cantidad de producto.</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Lee en la etiqueta de una pastilla antiácida efervescente cuánto bicarbonato contiene. Ponla en un vaso con agua sobre la balanza de cocina y registra la pérdida de masa por el CO₂ que escapa. Calcula tú el CO₂ teórico y la pureza aparente. Pide a la IA el mismo cálculo con tus datos y revisa la ecuación, las masas molares y la relación molar. Explica las diferencias con tu medición.
Evidencia: Tabla «Masa inicial · Masa final · CO₂ medido · CO₂ teórico (mío / Respuesta de IA) · Pureza · ✔/✘». Una línea en tu registro de uso de IA.
→ PISA D4 · TIMSS Razonar</t>
    </r>
  </si>
  <si>
    <t>Material de campaña escolar sobre el manejo responsable de pilas y baterías usadas con datos del MARN</t>
  </si>
  <si>
    <t>Convivir
Comparte y prueba su algoritmo con otro equipo y atiende con respeto las correcciones que recibe.
↳ Se trabaja en la actividad digital (DigComp 3.4).</t>
  </si>
  <si>
    <t>6.9. Ejemplifica aplicaciones de la electroquímica y sus impactos.</t>
  </si>
  <si>
    <t>PhET «Isótopos y masa atómica»</t>
  </si>
  <si>
    <r>
      <rPr>
        <rFont val="Arial"/>
        <color theme="1"/>
        <sz val="9.0"/>
      </rPr>
      <t>4.4 Protección del medio ambiente – Básico</t>
    </r>
    <r>
      <rPr>
        <rFont val="Arial"/>
        <color rgb="FF7030A0"/>
        <sz val="9.0"/>
      </rPr>
      <t xml:space="preserve">
DigComp 3.0 cambió el nombre de la 4.4: «Impacto ambiental de las tecnologías digitales» (Environmental impacts of digital technologies).
Con la IA (DigComp 3.0, nivel real): CS1.2.14 – Avanzado: examina de forma continua cómo la IA, los sesgos y distintos intereses influyen en la información.</t>
    </r>
  </si>
  <si>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n: cantidad de sustancia, en moles, mol. M: masa molar, en gramos por mol, g/mol. m: masa, en gramos, g. c: concentración molar, en moles por litro, mol/L. V: volumen, en litros, L. P: pureza, en porcentaje, %. R: rendimiento porcentual, %. NA: constante de Avogadro, 6.022 × 10²³ mol⁻¹.</t>
  </si>
  <si>
    <t>Nuevo (planeador)
Planeador Química I · 11.3</t>
  </si>
  <si>
    <r>
      <rPr>
        <rFont val="Arial"/>
        <color theme="1"/>
        <sz val="9.0"/>
      </rPr>
      <t>Calcular el número de pilas y baterías que desecha el grupo en un año y localizar el punto de acopio más cercano para entregarlas.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Haz una lista de aplicaciones electroquímicas que uses: baterías de teléfono, pilas, galvanizado de láminas, recubrimientos. Pregúntale a la IA: «¿Qué impactos ambientales y sociales tiene la extracción de litio para baterías?» y repite la pregunta pidiendo el punto de vista de una empresa minera y el de una comunidad. Compara las respuestas y verifica dos datos en una fuente oficial. Recuerda que la IA también gasta energía.
Evidencia: Tabla «Aspecto · Respuesta 1 · Respuesta 2 · Respuesta 3 · Dato verificado y fuente», con las respuestas rotuladas «Respuesta de IA» y un párrafo sobre cómo cambia la información según el enfoque pedido. Anota una línea en el registro de uso de IA.
→ PISA I1 · TIMSS Razonar</t>
    </r>
  </si>
  <si>
    <t>Respeto al medio ambiente, entorno y territorio
Promueve la entrega de pilas y baterías usadas en los puntos de acopio para evitar la contaminación del suelo y el agua.
↳ Se trabaja en la actividad digital (DigComp 4.4).</t>
  </si>
  <si>
    <t>Oficial
Malla 10.° grado, U1 · 1.9</t>
  </si>
  <si>
    <t>Reactivo limitante
Reactivo en exceso</t>
  </si>
  <si>
    <t>10.2. Determinación del reactivo limitante y del reactivo en exceso en reacciones con cantidades iniciales arbitrarias.</t>
  </si>
  <si>
    <t>E1 · Relaciona la preparación de pupusas con cantidades fijas de masa y relleno con la idea de un ingrediente que se agota primero.</t>
  </si>
  <si>
    <t>D1 · Pregunta guía: «¿Por qué al agregar más vinagre a una cantidad fija de bicarbonato llega un momento en que ya no se produce más gas?».</t>
  </si>
  <si>
    <t>E4 · Usa un simulador de reactivos, productos y sobrantes para modelar mezclas con distintas proporciones iniciales y reconocer el limitante.</t>
  </si>
  <si>
    <t>PhET «Construye una molécula»</t>
  </si>
  <si>
    <t>D4 · Mide el volumen de gas recogido en globos con cantidades crecientes de vinagre sobre una masa fija de bicarbonato y grafica los datos.</t>
  </si>
  <si>
    <t>D3 · Evalúa las fuentes de error del experimento de los globos, como fugas o temperatura, y propone cómo mejorar la medición.</t>
  </si>
  <si>
    <t>Colaboración (Indagar)
Coordina con su equipo la preparación de cinco mezclas con proporciones distintas y el registro compartido del volumen de gas.</t>
  </si>
  <si>
    <t>Conocer: definir reactivo limitante y reactivo en exceso. Aplicar: determinar el reactivo limitante y calcular el producto máximo</t>
  </si>
  <si>
    <t>Gráfica de volumen de gas contra volumen de vinagre con identificación del punto estequiométrico</t>
  </si>
  <si>
    <t>10.2. Determina el reactivo limitante y la cantidad sobrante del reactivo en exceso, y calcula a partir de ellos la cantidad máxima de producto.</t>
  </si>
  <si>
    <t>Corrosión de los metales
Celda de corrosión
Protección catódica y galvanizado</t>
  </si>
  <si>
    <t>6.7. Análisis de la corrosión de los metales como una celda galvánica y de los métodos para proteger los metales.</t>
  </si>
  <si>
    <r>
      <rPr>
        <rFont val="Arial"/>
        <color theme="1"/>
        <sz val="9.0"/>
      </rPr>
      <t>2.4 Colaboración a través de tecnologías digitales – Básico</t>
    </r>
    <r>
      <rPr>
        <rFont val="Arial"/>
        <color rgb="FF7030A0"/>
        <sz val="9.0"/>
      </rPr>
      <t xml:space="preserve">
Con la IA (DigComp 3.0, nivel real): CS1.2.13 – Intermedio: valora qué tan confiable es una fuente, teniendo en cuenta el papel de la IA.</t>
    </r>
  </si>
  <si>
    <t>E6 · Observa en fotografías el deterioro de techos de lámina, rótulos y estructuras metálicas en zonas costeras como La Libertad y La Unión.</t>
  </si>
  <si>
    <t>D1 · Pregunta guía: «¿Por qué los clavos y láminas se oxidan más rápido cerca del mar que en el interior del país?».</t>
  </si>
  <si>
    <r>
      <rPr>
        <rFont val="Arial"/>
        <color theme="1"/>
        <sz val="9.0"/>
      </rPr>
      <t>Registrar los datos de todos los equipos en un documento colaborativo en línea para construir una gráfica conjunta.</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Pon 50 mL de vinagre en 4 botellas y coloca en la boca de cada una un globo con 1, 2, 4 y 6 g de bicarbonato; deja caer el polvo y mide la circunferencia de cada globo. Predice tú desde qué cantidad el vinagre será el reactivo limitante (busca la acidez en la etiqueta). Comprueba con el simulador «Reactivos, productos y excedentes» y pregúntale al cuaderno de NotebookLM cómo se identifica el reactivo en exceso.
Evidencia: Gráfica circunferencia contra masa de bicarbonato; tu predicción y cálculo del limitante; «Respuesta de IA» con su cita y ✔/✘. Una línea en tu registro de uso de IA.
Refuerza con: PhET «Reactivos, productos y excedentes» (https://phet.colorado.edu/sims/html/reactants-products-and-leftovers/latest/reactants-products-and-leftovers_es.html)
→ PISA D4 · TIMSS Razonar</t>
    </r>
  </si>
  <si>
    <t>E4 · Modela la corrosión del hierro como una celda galvánica con zona anódica, zona catódica y el agua salada como electrolito.</t>
  </si>
  <si>
    <t>Convivir
Respeta los datos aportados por otros equipos y comenta sus diferencias sin descalificar el trabajo ajeno.
↳ Se trabaja en la actividad digital (DigComp 2.4).</t>
  </si>
  <si>
    <t>D2 · Propone un experimento con clavos en agua dulce, agua salada, clavo pintado y clavo en contacto con zinc, y registra cambios durante una semana.</t>
  </si>
  <si>
    <t>PhET «Molaridad»</t>
  </si>
  <si>
    <t>I5 · Justifica con los resultados cuál método de protección, como pintura, galvanizado o ánodo de sacrificio, conviene para una estructura costera.</t>
  </si>
  <si>
    <t>Creatividad (Reforzar)
Propone una solución original de protección catódica para una estructura metálica del entorno escolar o costero.</t>
  </si>
  <si>
    <t>Aplicar: escribir las semirreacciones de corrosión. Razonar: comparar métodos de protección con evidencia experimental</t>
  </si>
  <si>
    <t>Nuevo (planeador)
Planeador Química I · 11.4</t>
  </si>
  <si>
    <t>Registro fotográfico de siete días de los clavos con semirreacciones y recomendación argumentada de protección</t>
  </si>
  <si>
    <t>Eficiencia de las reacciones</t>
  </si>
  <si>
    <t>6.11. Explica la corrosión del hierro como un proceso electroquímico y argumenta el método de protección más adecuado para un metal expuesto al ambiente costero salvadoreño.</t>
  </si>
  <si>
    <t>Rendimiento teórico
Rendimiento real
Rendimiento porcentual</t>
  </si>
  <si>
    <t>10.3. Cálculo del rendimiento porcentual de una reacción y análisis de las causas de diferencia entre el rendimiento teórico y el experimental.</t>
  </si>
  <si>
    <r>
      <rPr>
        <rFont val="Arial"/>
        <color theme="1"/>
        <sz val="9.0"/>
      </rPr>
      <t>4.2 Protección de datos personales y privacidad – Básico</t>
    </r>
    <r>
      <rPr>
        <rFont val="Arial"/>
        <color rgb="FF7030A0"/>
        <sz val="9.0"/>
      </rPr>
      <t xml:space="preserve">
Con la IA (DigComp 3.0, nivel real): CS1.2.08 – Intermedio: reconoce que los datos con que se entrena una IA influyen en qué tan confiable es.</t>
    </r>
  </si>
  <si>
    <t>E6 · Analiza por qué un ingenio azucarero salvadoreño se interesa en conocer cuánto azúcar recupera realmente de la caña procesada.</t>
  </si>
  <si>
    <t>E5 · Plantea hipótesis sobre por qué el precipitado de carbonato de calcio obtenido pesa menos que el valor teórico calculado.</t>
  </si>
  <si>
    <t>E1 · Aplica la definición de rendimiento porcentual a la precipitación de carbonato de calcio a partir de cloruro de calcio y carbonato de sodio.</t>
  </si>
  <si>
    <t>D4 · Filtra, seca y pesa el precipitado obtenido y concluye sobre las pérdidas por filtración, humedad y reacciones incompletas.</t>
  </si>
  <si>
    <t>E3 · Predice cómo cambiaría el rendimiento si se lava el precipitado con mayor cantidad de agua y justifica su predicción.</t>
  </si>
  <si>
    <t>Comunicación (Reforzar)
Presenta en un informe breve el rendimiento obtenido y comunica con claridad las fuentes de pérdida identificadas.</t>
  </si>
  <si>
    <r>
      <rPr>
        <rFont val="Arial"/>
        <color theme="1"/>
        <sz val="9.0"/>
      </rPr>
      <t>Revisar y ajustar los permisos de ubicación y almacenamiento de la aplicación de cámara antes de compartir el registro fotográfico en el aula virtual.</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Coloca clavos en vasos con agua, agua con sal y aire seco, más un clavo galvanizado y uno pintado en agua con sal. Predice cuáles se corroerán más. Fotografía los clavos cada día durante una semana. Entrena en Teachable Machine un modelo con clases «sin óxido», «poco óxido» y «mucho óxido» y úsalo para clasificar las fotos del último día. Compara con tu propia clasificación.
Evidencia: Tabla «Clavo · Condición · Mi predicción · Mi clasificación · Clase del modelo (hecho con IA) · ¿Coinciden?», las semirreacciones de la corrosión y una explicación de la protección del zinc. Anota una línea en el registro de uso de IA.
→ PISA D2 · TIMSS Razonar</t>
    </r>
  </si>
  <si>
    <t>Aplicar: calcular rendimientos. Razonar: explicar diferencias entre valores teóricos y experimentales</t>
  </si>
  <si>
    <t>PhET «Escala de pH»</t>
  </si>
  <si>
    <t>Informe de laboratorio con cálculo del rendimiento porcentual del precipitado y análisis de pérdidas</t>
  </si>
  <si>
    <t>Uso ético de la información
Comparte solo fotografías propias del experimento y evita publicar datos de ubicación o imágenes de personas sin su permiso.
↳ Se trabaja en la actividad digital (DigComp 4.2).</t>
  </si>
  <si>
    <t>10.3. Calcula el rendimiento porcentual de una reacción y explica las causas químicas y experimentales de las pérdidas de producto.</t>
  </si>
  <si>
    <t>Nuevo (planeador)
Planeador Química II · 4.11
(complemento de la unidad oficial)</t>
  </si>
  <si>
    <r>
      <rPr>
        <rFont val="Arial"/>
        <color theme="1"/>
        <sz val="9.0"/>
      </rPr>
      <t>1.3 Gestión de la información – Básico</t>
    </r>
    <r>
      <rPr>
        <rFont val="Arial"/>
        <color rgb="FF7030A0"/>
        <sz val="9.0"/>
      </rPr>
      <t xml:space="preserve">
Con la IA (DigComp 3.0, nivel real): CS3.1.08 – Intermedio: describe ventajas y límites de usar IA para crear contenidos.</t>
    </r>
  </si>
  <si>
    <r>
      <rPr>
        <rFont val="Arial"/>
        <color theme="1"/>
        <sz val="9.0"/>
      </rPr>
      <t>Organizar en una hoja de cálculo las masas de todos los equipos y calcular el rendimiento medio y su dispersión.</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Con tu experimento de los globos o de la pastilla efervescente, calcula tú el rendimiento teórico y el real de CO₂, y el rendimiento porcentual. Escribe tus propias causas de pérdida. Luego pide a la IA posibles causas de un rendimiento menor al 100 % y clasifica cada una como «posible en mi montaje» o «no aplica». Las que no aplican muestran que la IA no vio tu experimento.
Evidencia: Cálculo del rendimiento; tabla «Causa · Mía o Respuesta de IA · ¿Aplica a mi montaje? · ✔/✘». Una línea en tu registro de uso de IA.
Refuerza con: PhET «Reactivos, productos y excedentes» (https://phet.colorado.edu/sims/html/reactants-products-and-leftovers/latest/reactants-products-and-leftovers_es.html)
→ PISA E3 · TIMSS Aplicar</t>
    </r>
  </si>
  <si>
    <t>Respeto al medio ambiente, entorno y territorio
Recupera el filtrado y el precipitado para entregarlos a la docente como residuos clasificados, sin verterlos al desagüe.</t>
  </si>
  <si>
    <t>7. Química industrial</t>
  </si>
  <si>
    <t>Industria química de base</t>
  </si>
  <si>
    <t>Nuevo (planeador)
Planeador Química I · 11.5</t>
  </si>
  <si>
    <t>U11 - Eje integrador: energía</t>
  </si>
  <si>
    <t>Proceso de contacto
Ácido sulfúrico
Fertilizantes nitrogenados</t>
  </si>
  <si>
    <t>7.1. Análisis de las condiciones de reacción del proceso de contacto y de la síntesis de fertilizantes nitrogenados a partir del amoníaco.</t>
  </si>
  <si>
    <t>PhET «Reactivos, productos y excedentes»</t>
  </si>
  <si>
    <t>11. Termodinámica en reacciones químicas</t>
  </si>
  <si>
    <t>E6 · Reconoce que los fertilizantes nitrogenados son clave en los cultivos de maíz, frijol y caña del país y que se producen a partir del amoníaco.</t>
  </si>
  <si>
    <t>Energía en las reacciones químicas</t>
  </si>
  <si>
    <t>E3 · Pregunta guía: «¿Por qué la industria no usa la temperatura que da el mayor rendimiento de trióxido de azufre?», y justifica su respuesta.</t>
  </si>
  <si>
    <t>E4 · Modela con Le Châtelier las etapas del proceso de contacto y retoma el proceso Haber visto en 10.° para la síntesis del amoníaco.</t>
  </si>
  <si>
    <t>D4 · Interpreta una tabla de rendimiento de SO₃ a distintas temperaturas y presiones y concluye cuáles son las condiciones de compromiso.</t>
  </si>
  <si>
    <t>I5 · Justifica el uso responsable de fertilizantes nitrogenados considerando la contaminación de ríos y lagos por nitratos.</t>
  </si>
  <si>
    <t>Comunicación (Explicar)
Explica ante la clase las condiciones de compromiso del proceso de contacto usando la tabla de rendimientos.</t>
  </si>
  <si>
    <t>Aplicar: escribir las etapas del proceso. Razonar: justificar condiciones de compromiso</t>
  </si>
  <si>
    <t>Cuadro de condiciones del proceso de contacto con justificación termodinámica y cinética</t>
  </si>
  <si>
    <t>Energía interna de reacción
 Entalpía de reacción
 Diagramas de entalpía
 Estado estándar
 Entalpía estándar de formación
 Ley de Hess</t>
  </si>
  <si>
    <t>11.1. Medición calorimétrica del calor de reacción a presión constante, representación en diagramas de entalpía y cálculo de entalpías estándar de reacción mediante entalpías de formación tabuladas y la ley de Hess.</t>
  </si>
  <si>
    <t>7.2. Justifica las condiciones de presión, temperatura y catalizador del proceso de contacto con el principio de Le Châtelier y relaciona el amoníaco del proceso Haber con la producción de fertilizantes.</t>
  </si>
  <si>
    <t>Calcula la entalpía, la entropía y la energía de Gibbs estándar de reacciones químicas a partir de datos tabulados, de la ley de Hess y de entalpías de enlace. Predice la espontaneidad de una reacción en función de la temperatura y la distingue de su rapidez.</t>
  </si>
  <si>
    <t>Valoración del aprovechamiento eficiente de la energía química en combustibles, alimentos y procesos industriales. Pensamiento crítico ante afirmaciones sobre fuentes de energía y su impacto ambiental.</t>
  </si>
  <si>
    <t>1. Explicar fenómenos científicamente
 2. Construir y evaluar diseños para la indagación científica e interpretar datos y evidencia de forma crítica</t>
  </si>
  <si>
    <t>E1 · Aplica el primer principio estudiado en Física para distinguir el calor absorbido a volumen constante del absorbido a presión constante.
 E6 · Compara la energía liberada por la leña, el gas propano y el etanol de caña usados en El Salvador y su importancia para los hogares.</t>
  </si>
  <si>
    <t>D1 · Pregunta guía: «¿Cómo podemos medir cuánta energía libera o absorbe una reacción usando solo vasos, un termómetro y una balanza?».
 E3 · Predice si es posible conocer la entalpía de formación del monóxido de carbono aunque no se pueda producir puro en el laboratorio.</t>
  </si>
  <si>
    <r>
      <rPr>
        <rFont val="Arial"/>
        <color theme="1"/>
        <sz val="9.0"/>
      </rPr>
      <t>1.1 Navegación, búsqueda y filtrado de información – Básico</t>
    </r>
    <r>
      <rPr>
        <rFont val="Arial"/>
        <color rgb="FF7030A0"/>
        <sz val="9.0"/>
      </rPr>
      <t xml:space="preserve">
Con la IA (DigComp 3.0, nivel real): CS1.2.08 – Intermedio: reconoce que los datos con que se entrena una IA influyen en qué tan confiable es.</t>
    </r>
  </si>
  <si>
    <t>E2 · Construye diagramas de entalpía para la neutralización de disoluciones diluidas y para la reacción endotérmica de bicarbonato con vinagre.
 E2 · Combina y transforma ecuaciones termoquímicas, invirtiéndolas o multiplicándolas, para obtener la entalpía de una reacción objetivo.</t>
  </si>
  <si>
    <t>5. ASISTENTES LISTOS PARA USAR (se copia al inicio de la conversación)</t>
  </si>
  <si>
    <t>D2 · Propone un diseño de calorímetro de vasos aislados para medir el calor de neutralización de disoluciones diluidas usando gafas y guantes.
 I3 · Argumenta con datos de entalpías de formación qué combustible libera más energía por gramo y por mol de CO₂ emitido.</t>
  </si>
  <si>
    <t>D3 · Evalúa las pérdidas de calor del calorímetro y propone mejoras al aislamiento y a la lectura de la temperatura máxima.
 E3 · Predice la entalpía de combustión del metano con la ley de Hess y la compara con el valor tabulado para validar su procedimiento.</t>
  </si>
  <si>
    <t>Colaboración (Indagar)
 Reparte con su equipo las tareas de medición, lectura de temperatura cada diez segundos y registro de datos del calorímetro.
 Pensamiento crítico (Indagar)
 Juzga con base en sus cálculos cuál combustible es preferible considerando la energía y las emisiones de CO₂.</t>
  </si>
  <si>
    <r>
      <rPr>
        <rFont val="Arial"/>
        <color theme="1"/>
        <sz val="9.0"/>
      </rPr>
      <t>Buscar datos oficiales de importación y consumo de fertilizantes en El Salvador filtrando fuentes institucionales.</t>
    </r>
    <r>
      <rPr>
        <rFont val="Arial"/>
        <color rgb="FF7030A0"/>
        <sz val="9.0"/>
      </rPr>
      <t xml:space="preserve">
IA (Indagar · el estudiante, solo o en pareja).
Herramienta y medio: Climate TRACE (climatetrace.org) en el navegador, sin cuenta.
Actividad: Explica con Le Châtelier por qué el proceso de contacto y la síntesis de amoníaco usan cierta presión, temperatura y catalizador. Luego en Climate TRACE busca las emisiones estimadas por aplicación de fertilizantes sintéticos en El Salvador y compáralas con otro sector. Escribe la cadena química desde el amoníaco hasta el fertilizante y por qué se liberan óxidos de nitrógeno. Contrasta con información del CENTA.
Evidencia: Tabla «Condición · Efecto según Le Châtelier · Justificación económica», el dato de emisiones de Climate TRACE (hecho con IA) y lo que encontraste en el CENTA. Cierra con una limitación de los datos estimados y una línea en el registro de uso de IA.
Refuerza con: CENTA (https://www.centa.gob.sv)
→ PISA D4 · TIMSS Razonar</t>
    </r>
  </si>
  <si>
    <t>Respeto al medio ambiente, entorno y territorio
Analiza el impacto de la aplicación excesiva de fertilizantes en la calidad del agua del lago de Coatepeque o el río Lempa.</t>
  </si>
  <si>
    <t>Conocer: diferenciar procesos exotérmicos y endotérmicos y definir la entalpía estándar de formación. Aplicar: calcular q y ΔH a partir de datos calorimétricos, y ΔH° con la ley de Hess y entalpías de formación</t>
  </si>
  <si>
    <t>Informe de calorimetría con curva temperatura-tiempo, cálculo de ΔH y diagrama de entalpía, que compara el valor experimental con el calculado por la ley de Hess, más una tabla comparativa de combustibles con energía por gramo y CO₂ emitido</t>
  </si>
  <si>
    <t>Asistente</t>
  </si>
  <si>
    <t>INDAGACIÓN: Aplicar el primer y el segundo principio de la termodinámica a las reacciones químicas para cuantificar sus intercambios de energía y predecir su espontaneidad a partir de ΔH, ΔS y ΔG.</t>
  </si>
  <si>
    <t>Para qué</t>
  </si>
  <si>
    <t>Dónde</t>
  </si>
  <si>
    <t>Instrucciones para copiar</t>
  </si>
  <si>
    <t>11.1. Determina experimentalmente la entalpía de una reacción en un calorímetro de vasos, la representa en un diagrama de entalpía exotérmico o endotérmico y la contrasta con la calculada mediante la ley de Hess o las entalpías estándar de formación.</t>
  </si>
  <si>
    <t>Toda reacción química intercambia energía con su entorno, y el balance entre la entalpía y la entropía determina si puede ocurrir espontáneamente. Estas ideas permiten comparar combustibles, diseñar procesos industriales eficientes y comprender por qué algunas transformaciones requieren un aporte continuo de energía.</t>
  </si>
  <si>
    <t>Agroindustria salvadoreña</t>
  </si>
  <si>
    <t>Beneficiado húmedo del café
Aguas mieles
Tratamiento anaerobio y biogás</t>
  </si>
  <si>
    <r>
      <rPr>
        <rFont val="Arial"/>
        <color rgb="FF000000"/>
        <sz val="9.0"/>
      </rPr>
      <t>5.1 Identificación y resolución de problemas técnicos – Básico
 1.1 Navegación, búsqueda y filtrado de información – Básico</t>
    </r>
    <r>
      <rPr>
        <rFont val="Arial"/>
        <color rgb="FF7030A0"/>
        <sz val="9.0"/>
      </rPr>
      <t xml:space="preserve">
Con la IA (DigComp 3.0, nivel real): CS1.2.13 – Intermedio: valora qué tan confiable es una fuente, teniendo en cuenta el papel de la IA.</t>
    </r>
  </si>
  <si>
    <t>7.2. Análisis de la carga contaminante de las aguas mieles del beneficiado del café y de sus alternativas de tratamiento.</t>
  </si>
  <si>
    <t>Tutor que pregunta</t>
  </si>
  <si>
    <t>Guiarme sin darme la respuesta</t>
  </si>
  <si>
    <t>Gemini con la cuenta institucional</t>
  </si>
  <si>
    <t>E6 · Reconoce que el beneficiado húmedo del café genera aguas mieles que pueden contaminar quebradas y ríos de las zonas cafetaleras.</t>
  </si>
  <si>
    <t>E5 · Formula una hipótesis sobre por qué las aguas mieles vertidas a un río reducen el oxígeno disuelto y afectan a los peces.</t>
  </si>
  <si>
    <t>Actúa como tutor de Ciencias para un estudiante de 15–17 años (Bachillerato) de El Salvador. Nunca des la respuesta directa. Haz una pregunta a la vez, parte de lo que observé o medí y espera mi respuesta. Si hay un error, pregúntame algo que me ayude a verlo. No pidas datos personales. Si pregunto qué comer, mezclar o tocar, o qué hacer en una emergencia, dime que siga mi guía y las fuentes oficiales.</t>
  </si>
  <si>
    <t>E1 · Explica la relación entre los azúcares y la pectina del mucílago con la DBO y la DQO elevadas de las aguas mieles.</t>
  </si>
  <si>
    <r>
      <rPr>
        <rFont val="Arial"/>
        <color rgb="FF000000"/>
        <sz val="9.0"/>
      </rPr>
      <t>Configurar y resolver fallas de conexión o calibración de un sensor de temperatura digital para registrar la curva de calentamiento.
 Buscar y filtrar entalpías estándar de formación en bases de datos confiables como PubChem o las tablas del NIST.</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Haz un calorímetro con dos vasos de duroport y una tapa con un agujero para el termómetro. Mezcla 100 mL de vinagre con 5 g de bicarbonato y mide la temperatura antes y después. Calcula tú q = m·c·ΔT y la entalpía por mol de bicarbonato. Dibuja el diagrama de entalpía. Pregúntale al cuaderno de NotebookLM: «¿Qué diferencia hay entre energía interna y entalpía de reacción?» y explica si tu reacción es endotérmica o exotérmica.
Evidencia: Tabla de temperaturas, cálculo de ΔH y diagrama de entalpía propios; «Respuesta de IA» con su cita y ✔/✘. Una línea en tu registro de uso de IA.
→ PISA D2 · TIMSS Razonar</t>
    </r>
  </si>
  <si>
    <t>I3 · Argumenta con datos de DQO antes y después de un tratamiento anaerobio cuál alternativa reduce más la carga contaminante.</t>
  </si>
  <si>
    <t>Convivir
 Cuida el equipo compartido de medición y acuerda con su equipo turnos equitativos para operarlo.
 Uso ético de la información
 Registra la fuente de cada dato termodinámico y reconoce la autoría de las bases de datos consultadas.
 ↳ Se trabaja en la actividad digital (DigComp 1.1).</t>
  </si>
  <si>
    <t>I5 · Justifica una propuesta de tratamiento de aguas mieles con producción de biogás para un beneficio de la zona occidental.</t>
  </si>
  <si>
    <t>Creatividad (Reforzar)
Diseña una propuesta original de aprovechamiento de las aguas mieles y la pulpa como biogás o abono orgánico.</t>
  </si>
  <si>
    <t>Conocer: definir DBO y DQO. Razonar: comparar tratamientos con datos y justificar una propuesta</t>
  </si>
  <si>
    <t>Propuesta escrita de tratamiento de aguas mieles con datos de DQO y esquema del sistema</t>
  </si>
  <si>
    <t>Cuaderno de la unidad</t>
  </si>
  <si>
    <t>Responder dudas solo con las fuentes de la unidad</t>
  </si>
  <si>
    <t>7.4. Explica por qué las aguas mieles tienen una alta demanda química de oxígeno y propone un tratamiento que reduzca su impacto en los ríos.</t>
  </si>
  <si>
    <t>NotebookLM: se abre desde el enlace de la ficha</t>
  </si>
  <si>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U: energía interna, en julios, J. ΔH: variación de entalpía, en kilojulios, kJ, o en kilojulios por mol, kJ/mol. ΔH°f: entalpía estándar de formación, en kJ/mol. q: calor, en julios, J. c: capacidad calorífica específica, en J/(g·°C). S: entropía, en julios por kelvin, J/K; S°: entropía molar estándar, en J/(mol·K). ΔG: variación de energía de Gibbs, en kJ/mol. T: temperatura absoluta, en kelvin, K. El superíndice ° indica estado estándar (100 kPa y la temperatura especificada, generalmente 298 K).</t>
  </si>
  <si>
    <t>Eres el asistente de Ciencias de Química de Bachillerato (10.° y 11.°) de una escuela pública de El Salvador. Responde solo con la información de las fuentes cargadas y cita la fuente. Si algo no está en las fuentes, dilo. Usa español claro y ejemplos de El Salvador. No des diagnósticos médicos ni indicaciones para manipular o mezclar sustancias.</t>
  </si>
  <si>
    <t>Nuevo (planeador)
Planeador Química I · 12.2</t>
  </si>
  <si>
    <r>
      <rPr>
        <rFont val="Arial"/>
        <color theme="1"/>
        <sz val="9.0"/>
      </rPr>
      <t>2.3 Participación ciudadana a través de tecnologías digitales – Básico</t>
    </r>
    <r>
      <rPr>
        <rFont val="Arial"/>
        <color rgb="FF7030A0"/>
        <sz val="9.0"/>
      </rPr>
      <t xml:space="preserve">
Con la IA (DigComp 3.0, nivel real): CS1.2.13 – Intermedio: valora qué tan confiable es una fuente, teniendo en cuenta el papel de la IA.</t>
    </r>
  </si>
  <si>
    <t>U12 - Eje integrador: interacciones</t>
  </si>
  <si>
    <t>Compañero que se equivoca</t>
  </si>
  <si>
    <t>12. Cinética y equilibrio químico</t>
  </si>
  <si>
    <t>Defender una idea equivocada para que yo la corrija con evidencia</t>
  </si>
  <si>
    <t>Velocidad de reacción</t>
  </si>
  <si>
    <r>
      <rPr>
        <rFont val="Arial"/>
        <color theme="1"/>
        <sz val="9.0"/>
      </rPr>
      <t>Participar con datos en una consulta ciudadana o foro ambiental del municipio sobre la protección de ríos en zonas cafetaleras.</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Con los datos de la unidad sobre la demanda química de oxígeno de las aguas mieles del café, calcula tú la carga contaminante de un beneficio que procesa cierta cantidad de café uva. Propón qué tratamiento usarías. Luego pregunta al cuaderno de la unidad en NotebookLM: «¿Cómo transforma un reactor anaerobio la materia orgánica de las aguas mieles en biogás?» y compara con tu propuesta. Revisa lo que dice el MARN.
Evidencia: Cálculo de la carga contaminante, ecuación de formación de metano y la explicación del cuaderno rotulada «Respuesta de IA». Cierra con «Mi propuesta coincide en… / cambié…» y una línea en el registro de uso de IA.
Refuerza con: MARN (https://www.marn.gob.sv)
→ PISA I5 · TIMSS Aplicar</t>
    </r>
  </si>
  <si>
    <t>Velocidad media e instantánea
Relación con los coeficientes estequiométricos</t>
  </si>
  <si>
    <t>Responde como un estudiante que cree esta idea equivocada: [escribir la idea]. Defiéndela con argumentos de la vida diaria. Solo cambia de opinión si te muestro evidencia de un experimento, un simulador o una fuente oficial; entonces explica qué aprendiste.</t>
  </si>
  <si>
    <t>12.1. Cálculo de velocidades medias e instantáneas de reacción a partir de datos de concentración, volumen de gas o masa en función del tiempo.</t>
  </si>
  <si>
    <t>Convivir
Expone su postura con respeto en el foro ciudadano y escucha las opiniones de productores y comunidades.
↳ Se trabaja en la actividad digital (DigComp 2.3).</t>
  </si>
  <si>
    <t>Determina leyes de velocidad, órdenes de reacción y energías de activación a partir de datos experimentales, y relaciona el mecanismo de una reacción con su ley de velocidad. Resuelve problemas de equilibrio con tablas ICE, Kc, Kp y el cociente de reacción, y vincula K con ΔG° para evaluar las condiciones óptimas de un proceso industrial como el de Haber.</t>
  </si>
  <si>
    <t>Química del agua</t>
  </si>
  <si>
    <t>Coagulación y floculación
Desinfección con cloro
Tratamiento de aguas residuales</t>
  </si>
  <si>
    <t>Valoración del control de la velocidad de las reacciones y del equilibrio químico en la conservación de alimentos, la salud y la industria. Responsabilidad ante el uso de fertilizantes nitrogenados y su impacto en suelos y aguas del país.</t>
  </si>
  <si>
    <t>7.3. Análisis de las etapas químicas de la potabilización del agua y del tratamiento de aguas residuales.</t>
  </si>
  <si>
    <t>E6 · Reconoce que el agua que llega a muchos hogares salvadoreños se potabiliza en plantas que tratan agua de ríos como el Lempa.</t>
  </si>
  <si>
    <t>D1 · Pregunta guía: «¿Qué reacciones químicas convierten el agua turbia de un río en agua apta para el consumo humano?».</t>
  </si>
  <si>
    <t>E1 · Recuerda los factores de rapidez estudiados en 9.° y observa la diferencia entre la oxidación de un clavo y la reacción de una tableta efervescente.</t>
  </si>
  <si>
    <t>E1 · Explica la reacción del sulfato de aluminio con la alcalinidad del agua para formar flóculos que atrapan partículas.</t>
  </si>
  <si>
    <t>D1 · Pregunta guía: «¿Cómo podemos asignar un número a la rapidez de una reacción que cambia mientras ocurre?».</t>
  </si>
  <si>
    <t>D2 · Propone un ensayo de jarras con agua turbia y distintas dosis de coagulante, preparado y dosificado por la docente, para medir la turbidez.</t>
  </si>
  <si>
    <t>E2 · Transforma una curva de volumen de gas contra tiempo en velocidades medias por intervalos y en la velocidad instantánea mediante una tangente.</t>
  </si>
  <si>
    <t>6. FUENTES</t>
  </si>
  <si>
    <t>D3 · Evalúa el diseño del ensayo de jarras e identifica las variables que deben controlarse para comparar las dosis.</t>
  </si>
  <si>
    <t>D4 · Mide la pérdida de masa de un sistema de carbonato de calcio y vinagre cada treinta segundos y concluye cómo cambia la velocidad con el tiempo.</t>
  </si>
  <si>
    <t>Colaboración (Indagar)
Organiza con su equipo el ensayo de jarras con roles de registro, cronometraje y medición de turbidez.</t>
  </si>
  <si>
    <t>E3 · Predice cómo se relaciona la velocidad de consumo de H₂ con la de formación de NH₃ en la síntesis del amoniaco y lo justifica con los coeficientes.</t>
  </si>
  <si>
    <t>Aplicar: escribir reacciones de coagulación. Razonar: evaluar un diseño experimental y comparar dosis</t>
  </si>
  <si>
    <t>Informe del ensayo de jarras con tabla de turbidez por dosis y evaluación del diseño experimental</t>
  </si>
  <si>
    <t>7.6. Explica la función química de la coagulación, la floculación y la desinfección en la potabilización y la compara con las etapas del tratamiento de aguas residuales.</t>
  </si>
  <si>
    <r>
      <rPr>
        <rFont val="Arial"/>
        <color theme="1"/>
        <sz val="9.0"/>
      </rPr>
      <t>1.3 Gestión de la información – Básico</t>
    </r>
    <r>
      <rPr>
        <rFont val="Arial"/>
        <color rgb="FF7030A0"/>
        <sz val="9.0"/>
      </rPr>
      <t xml:space="preserve">
Con la IA (DigComp 3.0, nivel real): CS1.2.13 – Intermedio: valora qué tan confiable es una fuente, teniendo en cuenta el papel de la IA.</t>
    </r>
  </si>
  <si>
    <t>Cachia, R. y Cosgrove, J. (2025). DigComp 3.0: European Digital Competence Framework, 5.ª ed. Comisión Europea, JRC144121. https://publications.jrc.ec.europa.eu/repository/handle/JRC144121</t>
  </si>
  <si>
    <t>Colaboración (Explorar)
Organiza con su equipo los roles de cronometraje, lectura de masa y registro para obtener una curva sin datos perdidos.</t>
  </si>
  <si>
    <t>Conocer: definir velocidad media e instantánea. Aplicar: calcular velocidades a partir de curvas experimentales</t>
  </si>
  <si>
    <t>Gráfica masa-tiempo con cálculo de velocidades medias por intervalo y velocidad instantánea por tangente</t>
  </si>
  <si>
    <t>INDAGACIÓN: Analizar datos experimentales de concentración, tiempo y temperatura para establecer leyes de velocidad y constantes de equilibrio, y aplicar estos modelos a la optimización de procesos químicos que compiten entre rapidez y rendimiento.</t>
  </si>
  <si>
    <r>
      <rPr>
        <rFont val="Arial"/>
        <color theme="1"/>
        <sz val="9.0"/>
      </rPr>
      <t>Organizar en una hoja de cálculo los datos de turbidez de todos los equipos y determinar la dosis óptima de coagulante.</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Prepara dos frascos con agua turbia de tierra. A uno agrégale una pizca de piedra de alumbre disuelta y agita suave; deja el otro igual. Mide cada 10 minutos la altura del sedimento. Predice antes qué frasco se aclarará primero. Luego pregunta al cuaderno de la unidad en NotebookLM: «¿Cómo funcionan la coagulación, la floculación y la cloración en una planta potabilizadora?» y compara con tus datos. No bebas el agua.
Evidencia: Tabla «Tiempo · Altura de sedimento con alumbre · Sin alumbre», foto de los frascos y la explicación rotulada «Respuesta de IA». Cierra con lo que confirmaste en ANDA y una línea en el registro de uso de IA.
Refuerza con: ANDA (https://www.anda.gob.sv)
→ PISA D2 · TIMSS Razonar</t>
    </r>
  </si>
  <si>
    <t>Respeto al medio ambiente, entorno y territorio
Dispone los lodos del ensayo de jarras según las indicaciones de la docente, sin verterlos al desagüe ni al suelo.</t>
  </si>
  <si>
    <t>MINEDUCYT. Matriz curricular de Inteligencia Artificial 7.° a 11.° (basada en UNESCO, 2024). Competencias trabajadas en esta malla: AGN-03, AGN-04, TAP-02, URE-03, URE-04, URE-05.</t>
  </si>
  <si>
    <t>12.1. Calcula la velocidad media e instantánea de una reacción a partir de una curva experimental y la expresa en función de cualquier reactivo o producto.</t>
  </si>
  <si>
    <t>La cinética química explica con qué rapidez y por qué camino ocurren las reacciones, mientras que el equilibrio químico establece hasta dónde llegan. La combinación de ambos criterios permite a la industria elegir temperaturas, presiones y catalizadores que hacen viables procesos esenciales, como la producción de amoniaco para los fertilizantes que sostienen la agricultura.</t>
  </si>
  <si>
    <t>Hacia una industria sostenible</t>
  </si>
  <si>
    <t>Principios de la química verde
Economía atómica
Producción más limpia</t>
  </si>
  <si>
    <t>7.4. Aplicación de los principios de la química verde y del cálculo de la economía atómica para comparar rutas de síntesis.</t>
  </si>
  <si>
    <t>OCDE. Marco de Ciencias PISA 2025. https://pisa-framework.oecd.org/science-2025/</t>
  </si>
  <si>
    <r>
      <rPr>
        <rFont val="Arial"/>
        <color theme="1"/>
        <sz val="9.0"/>
      </rPr>
      <t>4.2 Protección de datos personales y privacidad – Básico</t>
    </r>
    <r>
      <rPr>
        <rFont val="Arial"/>
        <color rgb="FF7030A0"/>
        <sz val="9.0"/>
      </rPr>
      <t xml:space="preserve">
Con la IA (DigComp 3.0, nivel real): CS1.2.13 – Intermedio: valora qué tan confiable es una fuente, teniendo en cuenta el papel de la IA.</t>
    </r>
  </si>
  <si>
    <t>E6 · Reconoce que la industria genera residuos y emisiones que pueden reducirse desde el diseño de los procesos químicos.</t>
  </si>
  <si>
    <t>E3 · Pregunta guía: «¿Es suficiente un rendimiento alto para afirmar que un proceso químico es limpio?», y justifica su respuesta.</t>
  </si>
  <si>
    <t>E2 · Calcula la economía atómica de dos rutas de síntesis de un mismo producto y representa los resultados en una gráfica.</t>
  </si>
  <si>
    <t>I2 · Distingue en publicaciones sobre producción sostenible las afirmaciones respaldadas con datos de las que son solo publicidad.</t>
  </si>
  <si>
    <t>I5 · Justifica una propuesta de producción más limpia para un proceso estudiado en la unidad con base en los doce principios.</t>
  </si>
  <si>
    <r>
      <rPr>
        <rFont val="Arial"/>
        <color theme="1"/>
        <sz val="9.0"/>
      </rPr>
      <t>Revisar los permisos que solicita una aplicación de sensores del teléfono antes de usarla como cronómetro y registrador de datos.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Pon una pastilla efervescente en un vaso con agua sobre la balanza de cocina y anota la masa cada 15 segundos hasta que deje de cambiar. Grafica tú la masa de CO₂ perdida frente al tiempo. Calcula la velocidad media en dos intervalos y la instantánea al inicio con una recta tangente. Pregúntale al cuaderno de NotebookLM: «¿Cómo se relaciona la velocidad con los coeficientes estequiométricos?».
Evidencia: Tabla y gráfica propias con la tangente dibujada; cálculos de velocidad; «Respuesta de IA» con su cita y ✔/✘. Una línea en tu registro de uso de IA.
→ PISA D4 · TIMSS Razonar</t>
    </r>
  </si>
  <si>
    <t>IEA. Marcos de evaluación TIMSS 2027, cap. 2 Ciencias. https://timss2027.org/frameworks/downloads/T27_FW_Chap_2_Science.pdf</t>
  </si>
  <si>
    <t>Comunicación (Reforzar)
Presenta a la comunidad educativa su propuesta de producción más limpia con argumentos y datos cuantitativos.</t>
  </si>
  <si>
    <t>Respeto al medio ambiente, entorno y territorio
Utiliza cantidades mínimas de reactivos y entrega los residuos neutralizados a la docente para su disposición adecuada.</t>
  </si>
  <si>
    <t>Aplicar: calcular la economía atómica. Razonar: evaluar la sostenibilidad y justificar una propuesta</t>
  </si>
  <si>
    <t>Propuesta de producción más limpia con cálculo de economía atómica de dos rutas y justificación de principios</t>
  </si>
  <si>
    <t>7.7. Calcula la economía atómica de dos rutas de síntesis y propone la más sostenible aplicando los principios de la química verde.</t>
  </si>
  <si>
    <r>
      <rPr>
        <rFont val="Arial"/>
        <color theme="1"/>
        <sz val="9.0"/>
      </rPr>
      <t>1.2 Evaluación de la información – Básico</t>
    </r>
    <r>
      <rPr>
        <rFont val="Arial"/>
        <color rgb="FF7030A0"/>
        <sz val="9.0"/>
      </rPr>
      <t xml:space="preserve">
Con la IA (DigComp 3.0, nivel real): Competencia 4.4 «Impacto ambiental de las tecnologías digitales»: reconoce que los aparatos y la IA gastan energía y agua (descriptor y nivel por confirmar en el documento oficial).</t>
    </r>
  </si>
  <si>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v: velocidad de reacción, en moles por litro por segundo, mol/(L·s). [A]: concentración molar de la especie A, en mol/L. k: constante de velocidad, en unidades que dependen del orden total de la reacción. m, n: órdenes parciales de reacción, adimensionales. t½: semivida, en segundos, s. Ea: energía de activación, en kJ/mol. A: factor de frecuencia, en las unidades de k. R: constante de los gases, 8.314 J/(mol·K). Kc: constante de equilibrio en función de concentraciones, adimensional. Kp: constante de equilibrio en función de presiones parciales, adimensional. Q: cociente de reacción, adimensional. α: grado de disociación, adimensional. p: presión parcial, en kilopascales, kPa, o en bar. x: fracción molar, adimensional.</t>
  </si>
  <si>
    <t>Nuevo (planeador)
Planeador Química I · 13.1</t>
  </si>
  <si>
    <r>
      <rPr>
        <rFont val="Arial"/>
        <color theme="1"/>
        <sz val="9.0"/>
      </rPr>
      <t>Evaluar la fiabilidad de dos informes de sostenibilidad distinguiendo datos verificables de afirmaciones publicitarias.</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Calcula tú la economía atómica de dos rutas para obtener el mismo producto que te da la unidad (por ejemplo, una sustitución y una adición) y decide cuál es más verde según los doce principios. Luego pídele a la IA el mismo cálculo y revisa sus masas molares. Al final escribe cuántas consultas hiciste y por qué conviene usar la IA con propósito: también gasta energía y agua.
Evidencia: Tabla «Ruta · Masa de producto deseado · Masa total de reactivos · Mi economía atómica · Respuesta de IA · ¿Coincide?», y un párrafo sobre el costo ambiental de tus consultas a la IA. Anota una línea en el registro de uso de IA.
Refuerza con: PhET «Reactivos, productos y excedentes» (https://phet.colorado.edu/sims/html/reactants-products-and-leftovers/latest/reactants-products-and-leftovers_es.html)
→ PISA I5 · TIMSS Aplicar</t>
    </r>
  </si>
  <si>
    <t>Uso ético de la información
Cita con exactitud los datos utilizados y no presenta como evidencia afirmaciones publicitarias sin respaldo.
↳ Se trabaja en la actividad digital (DigComp 1.2).</t>
  </si>
  <si>
    <t>Modelos de la velocidad de reacción</t>
  </si>
  <si>
    <t>Teoría de las colisiones
Teoría del complejo activado
Energía de activación Catalizadores</t>
  </si>
  <si>
    <t>12.2. Interpretación de la teoría de las colisiones y del complejo activado mediante diagramas de energía potencial y simulaciones.</t>
  </si>
  <si>
    <t>U8 - Eje integrador: energía</t>
  </si>
  <si>
    <t>E1 · Recuerda el modelo de partículas en movimiento y observa en una simulación los choques entre moléculas de reactivos.</t>
  </si>
  <si>
    <t>E5 · Plantea una hipótesis sobre por qué no todos los choques entre moléculas de reactivos producen productos.</t>
  </si>
  <si>
    <t>8. Reacciones nucleares</t>
  </si>
  <si>
    <t>E4 · Usa un diagrama de energía potencial para ubicar la energía de activación, el complejo activado y la entalpía de reacción.</t>
  </si>
  <si>
    <t>Radiactividad</t>
  </si>
  <si>
    <t>D2 · Propone un diseño de simulación en PhET «Reacciones y velocidades» para aislar el efecto de la orientación y de la energía de los choques.</t>
  </si>
  <si>
    <t>E3 · Predice cómo cambiaría el diagrama de energía potencial de la reacción inversa y justifica la relación entre ambas energías de activación.</t>
  </si>
  <si>
    <t>Descubrimiento de la radiactividad
Elementos radiactivos naturales
Leyes del desplazamiento radiactivo</t>
  </si>
  <si>
    <t>Creatividad (Aproximar)
Inventa una representación física con esferas y resortes que ilustre los choques eficaces y los choques sin reacción.</t>
  </si>
  <si>
    <t>8.1. Reconstrucción histórica del descubrimiento de la radiactividad y aplicación de las leyes del desplazamiento de Soddy y Fajans.</t>
  </si>
  <si>
    <t>Conocer: describir modelos de reacción. Aplicar: interpretar diagramas de energía. Razonar: explicar choques eficaces</t>
  </si>
  <si>
    <t>Diagrama de energía potencial rotulado y reporte de la simulación con variables controladas</t>
  </si>
  <si>
    <t>Balancea ecuaciones nucleares aplicando la conservación del número másico y del número atómico, y reconstruye series de desintegración radiactiva. Evalúa críticamente las estrategias de gestión de residuos radiactivos según su tipo y actividad.</t>
  </si>
  <si>
    <t>12.4. Explica con la teoría de las colisiones y un diagrama de energía potencial por qué solo una fracción de los choques produce reacción.</t>
  </si>
  <si>
    <t>Valoración del trabajo científico que condujo al descubrimiento de la radiactividad. Responsabilidad y prudencia frente a los riesgos de los materiales radiactivos y sus residuos.</t>
  </si>
  <si>
    <r>
      <rPr>
        <rFont val="Arial"/>
        <color theme="1"/>
        <sz val="9.0"/>
      </rPr>
      <t>5.3 Identificación de soluciones creativas con tecnologías digitales – Básico</t>
    </r>
    <r>
      <rPr>
        <rFont val="Arial"/>
        <color rgb="FF7030A0"/>
        <sz val="9.0"/>
      </rPr>
      <t xml:space="preserve">
Con la IA (DigComp 3.0, nivel real): CS1.2.13 – Intermedio: valora qué tan confiable es una fuente, teniendo en cuenta el papel de la IA.</t>
    </r>
  </si>
  <si>
    <t>E1 · Recuerda el modelo nuclear del átomo y los isótopos vistos en grados anteriores como base para estudiar la radiactividad.</t>
  </si>
  <si>
    <r>
      <rPr>
        <rFont val="Arial"/>
        <color theme="1"/>
        <sz val="9.0"/>
      </rPr>
      <t>Explorar en el simulador PhET «Reacciones y velocidades» cómo cambian los choques eficaces al variar la temperatura y la orientación.</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Dibuja tú el diagrama de energía de una reacción con la energía de activación, el complejo activado y ΔH. Lanza 20 veces dos canicas una contra otra, despacio y rápido, y anota cuántas veces se separan con fuerza: es una analogía de choque eficaz. Pregúntale al cuaderno de NotebookLM: «¿Qué condiciones debe cumplir un choque para ser eficaz?». Explica tus resultados y un límite de la analogía.
Evidencia: Diagrama de energía rotulado; tabla de choques; «Respuesta de IA» con su cita y ✔/✘; un límite de la analogía. Una línea en tu registro de uso de IA.
→ PISA E3 · TIMSS Aplicar</t>
    </r>
  </si>
  <si>
    <t>D1 · Pregunta guía: «¿Cómo descubrió Becquerel que un mineral de uranio emitía radiación sin necesidad de luz solar?».</t>
  </si>
  <si>
    <t>Respeto al medio ambiente, entorno y territorio
Relaciona la energía de activación con el ahorro energético de procesos que funcionan a menor temperatura y su beneficio ambiental.</t>
  </si>
  <si>
    <t>E2 · Organiza en una línea de tiempo los hallazgos de Becquerel, los Curie y Rutherford que llevaron a identificar polonio, radio y los tipos de radiación.</t>
  </si>
  <si>
    <t>E4 · Aplica las leyes del desplazamiento para predecir la posición en la tabla periódica del producto de una emisión alfa o beta.</t>
  </si>
  <si>
    <t>Nuevo (planeador)
Planeador Química I · 13.4</t>
  </si>
  <si>
    <t>I2 · Distingue en relatos de divulgación los hechos históricos documentados de los mitos sobre el descubrimiento de la radiactividad.</t>
  </si>
  <si>
    <t>Equilibrio químico</t>
  </si>
  <si>
    <t>Comunicación (Explorar)
Comunica en una narración breve y rigurosa el razonamiento experimental de Becquerel con vocabulario científico preciso.</t>
  </si>
  <si>
    <t>Equilibrio dinámico
Ley de acción de masas
Reacciones directa e inversa</t>
  </si>
  <si>
    <t>Conocer: describir hitos históricos. Aplicar: usar las leyes del desplazamiento</t>
  </si>
  <si>
    <t>12.3. Deducción de la constante de equilibrio a partir de la igualdad de las velocidades de las reacciones directa e inversa.</t>
  </si>
  <si>
    <t>Línea de tiempo comentada del descubrimiento de la radiactividad y ejercicios de desplazamiento radiactivo</t>
  </si>
  <si>
    <t>INDAGACIÓN: Aplicar las leyes de conservación del número másico y del número atómico a las transformaciones nucleares, para predecir los productos de desintegraciones y transmutaciones y evaluar la gestión segura de los residuos radiactivos.</t>
  </si>
  <si>
    <t>E1 · Recuerda la expresión de la constante de equilibrio trabajada en 9.° y la vincula con las leyes de velocidad recién estudiadas.</t>
  </si>
  <si>
    <t>E5 · Plantea una hipótesis sobre por qué las concentraciones dejan de cambiar en el equilibrio aunque las reacciones continúan ocurriendo.</t>
  </si>
  <si>
    <t>E4 · Modela el equilibrio dinámico con el traspaso de agua entre dos probetas con tubos de distinto diámetro y grafica los volúmenes.</t>
  </si>
  <si>
    <t>D4 · Interpreta gráficas de velocidad directa e inversa contra tiempo y concluye el instante en que se alcanza el equilibrio.</t>
  </si>
  <si>
    <t>8.1. Relaciona los experimentos de Becquerel y de Marie y Pierre Curie con el descubrimiento de elementos radiactivos y aplica las leyes del desplazamiento para ubicar el producto en la tabla periódica.</t>
  </si>
  <si>
    <t>E3 · Predice el valor de Kc como cociente kd/ki para una reacción elemental con constantes de velocidad conocidas y justifica el resultado.</t>
  </si>
  <si>
    <t>Las reacciones nucleares transforman un elemento en otro al modificar la composición del núcleo, a diferencia de las reacciones químicas que solo reorganizan los electrones. Su estudio explica el origen de elementos radiactivos naturales y permite usos médicos e industriales que exigen una gestión rigurosa de los residuos.</t>
  </si>
  <si>
    <t>Creatividad (Explicar)
Crea una animación sencilla o secuencia de dibujos que muestre las moléculas reaccionando en ambos sentidos en el equilibrio.</t>
  </si>
  <si>
    <t>Aplicar: deducir Kc desde las velocidades. Razonar: explicar el carácter dinámico del equilibrio</t>
  </si>
  <si>
    <t>Gráfica del modelo de probetas y deducción escrita de Kc a partir de las leyes de velocidad</t>
  </si>
  <si>
    <t>12.8. Deduce la expresión de Kc a partir de la igualdad de las velocidades directa e inversa en reacciones elementales y la relaciona con la ley de acción de masas.</t>
  </si>
  <si>
    <r>
      <rPr>
        <rFont val="Arial"/>
        <color theme="1"/>
        <sz val="9.0"/>
      </rPr>
      <t>3.1 Desarrollo de contenidos digitales – Básico</t>
    </r>
    <r>
      <rPr>
        <rFont val="Arial"/>
        <color rgb="FF7030A0"/>
        <sz val="9.0"/>
      </rPr>
      <t xml:space="preserve">
Con la IA (DigComp 3.0, nivel real): CS1.2.13 – Intermedio: valora qué tan confiable es una fuente, teniendo en cuenta el papel de la IA.</t>
    </r>
  </si>
  <si>
    <r>
      <rPr>
        <rFont val="Arial"/>
        <color theme="1"/>
        <sz val="9.0"/>
      </rPr>
      <t>2.1 Interacción a través de y con tecnologías digitales – Básico</t>
    </r>
    <r>
      <rPr>
        <rFont val="Arial"/>
        <color rgb="FF7030A0"/>
        <sz val="9.0"/>
      </rPr>
      <t xml:space="preserve">
Con la IA (DigComp 3.0, nivel real): CS1.2.13 – Intermedio: valora qué tan confiable es una fuente, teniendo en cuenta el papel de la IA.</t>
    </r>
  </si>
  <si>
    <r>
      <rPr>
        <rFont val="Arial"/>
        <color theme="1"/>
        <sz val="9.0"/>
      </rPr>
      <t>Crear una línea de tiempo digital con texto, imágenes de dominio público y ejemplos de desplazamiento radiactivo.</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Haz tu propia línea de tiempo del descubrimiento de la radiactividad (Becquerel, los Curie, Rutherford, Soddy y Fajans) con lo que recuerdes. Luego pregunta al cuaderno de la unidad en NotebookLM: «¿Qué observó cada científico y qué enuncian las leyes del desplazamiento de Soddy y Fajans?». Verifica cada fecha con la fuente citada y aplica las leyes a una emisión alfa y una beta del radio-226.
Evidencia: Línea de tiempo con tus fechas y las del cuaderno rotuladas «Respuesta de IA», marcando ✔ o ✘ según la fuente, y tus dos ecuaciones con A y Z balanceados. Anota una línea en el registro de uso de IA.
Refuerza con: PhET «Isótopos y masa atómica» (https://phet.colorado.edu/sims/html/isotopes-and-atomic-mass/latest/isotopes-and-atomic-mass_es.html)
→ PISA E4 · TIMSS Razonar</t>
    </r>
  </si>
  <si>
    <r>
      <rPr>
        <rFont val="Arial"/>
        <color theme="1"/>
        <sz val="9.0"/>
      </rPr>
      <t>Participar en un foro del aula virtual discutiendo si el equilibrio químico es realmente dinámico con argumentos basados en el modelo.</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Haz una analogía de equilibrio dinámico: dos recipientes con agua y dos vasos de tamaños distintos; en cada ronda pasa agua de uno a otro con su vaso y anota los volúmenes durante 15 rondas. Grafica tú hasta que los volúmenes dejen de cambiar. Pregúntale al cuaderno de NotebookLM: «¿Por qué en el equilibrio las velocidades directa e inversa son iguales y las concentraciones no?». Compara con tu gráfica.
Evidencia: Tabla y gráfica de 15 rondas; ficha «Yo pienso · La IA dice · Lo comprobé» con la «Respuesta de IA» y su cita; ✔/✘. Una línea en tu registro de uso de IA.
→ PISA E3 · TIMSS Aplicar</t>
    </r>
  </si>
  <si>
    <t>Uso ético de la información
Verifica las fechas en fuentes académicas y cita las imágenes históricas de dominio público con su procedencia.
↳ Se trabaja en la actividad digital (DigComp 3.1).</t>
  </si>
  <si>
    <t>Convivir
Responde en el foro con argumentos y respeta las opiniones distintas de sus compañeros.
↳ Se trabaja en la actividad digital (DigComp 2.1).</t>
  </si>
  <si>
    <t>Nuevo (planeador)
Planeador Química I · 14.1</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</si>
  <si>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núclidos se escriben con el número másico como superíndice y el número atómico como subíndice a la izquierda del símbolo, por ejemplo, ²³⁸₉₂U. Simbología utilizada para la representación de magnitudes de interés en la unidad: A: número másico, adimensional. Z: número atómico, adimensional. N: número de neutrones, adimensional. α: partícula alfa, ⁴₂He. β⁻: partícula beta, ⁰₋₁e. γ: radiación gamma. t½: período de semidesintegración, en segundos, s, o en años, a. Actividad: en becquerels, Bq.</t>
  </si>
  <si>
    <t>Nuevo (planeador)
Planeador Química II · 6.2</t>
  </si>
  <si>
    <t>Ecuaciones nucleares</t>
  </si>
  <si>
    <t>Balance de A y Z
Transmutación artificial
Reacciones nucleares inducidas</t>
  </si>
  <si>
    <t>8.2. Balanceo de ecuaciones nucleares de desintegración y de transmutación mediante la conservación del número másico y del número atómico.</t>
  </si>
  <si>
    <t>E1 · Contrasta las reacciones químicas, que conservan los elementos, con las nucleares, que transforman un elemento en otro.</t>
  </si>
  <si>
    <t>E3 · Pregunta guía: «¿Qué debe conservarse en una ecuación nuclear si los átomos no se conservan?», y justifica su respuesta.</t>
  </si>
  <si>
    <t>E2 · Balancea la transmutación de nitrógeno en oxígeno realizada por Rutherford sumando números másicos y atómicos en cada lado.</t>
  </si>
  <si>
    <t>D4 · Completa diez ecuaciones nucleares con la partícula o el núclido faltante, las clasifica por tipo y concluye patrones de cambio de A y Z.</t>
  </si>
  <si>
    <t>E3 · Predice el producto del bombardeo de un núcleo con neutrones o partículas alfa y justifica con el balance de A y Z.</t>
  </si>
  <si>
    <t>Pensamiento crítico (Indagar)
Detecta errores en ecuaciones nucleares propuestas por otros y justifica cada corrección con el balance de A y Z.</t>
  </si>
  <si>
    <t>Aplicar: balancear ecuaciones nucleares. Razonar: clasificar transmutaciones y predecir productos</t>
  </si>
  <si>
    <t>Hoja de diez ecuaciones nucleares balanceadas y clasificadas con justificación del núclido faltante</t>
  </si>
  <si>
    <t>8.2. Balancea ecuaciones nucleares de desintegración y de transmutación artificial identificando la partícula o el núclido faltante mediante la conservación de A y Z.</t>
  </si>
  <si>
    <t>Cálculos de equilibrio</t>
  </si>
  <si>
    <r>
      <rPr>
        <rFont val="Arial"/>
        <color theme="1"/>
        <sz val="9.0"/>
      </rPr>
      <t>3.4 Pensamiento computacional y programación – Básico</t>
    </r>
    <r>
      <rPr>
        <rFont val="Arial"/>
        <color rgb="FF7030A0"/>
        <sz val="9.0"/>
      </rPr>
      <t xml:space="preserve">
Con la IA (DigComp 3.0, nivel real): CS1.2.10 – Intermedio: reconoce que la IA puede dar respuestas equivocadas que parecen ciertas y que quien la usa debe verificarlas.</t>
    </r>
  </si>
  <si>
    <t>Tablas ICE
Grado de disociación
Magnitud de K</t>
  </si>
  <si>
    <t>12.4. Resolución de problemas de equilibrio con tablas ICE para obtener concentraciones en el equilibrio y grados de disociación.</t>
  </si>
  <si>
    <t>E1 · Recuerda el cálculo de K con concentraciones de equilibrio dadas en 9.° y reconoce que ahora conocerá solo las concentraciones iniciales.</t>
  </si>
  <si>
    <t>E3 · Predice si en una reacción con K = 10⁻⁵ predominarán reactivos o productos en el equilibrio y justifica su predicción.</t>
  </si>
  <si>
    <t>E2 · Organiza en una tabla ICE las concentraciones iniciales, los cambios y las concentraciones de equilibrio en función de x.</t>
  </si>
  <si>
    <r>
      <rPr>
        <rFont val="Arial"/>
        <color theme="1"/>
        <sz val="9.0"/>
      </rPr>
      <t>Programar un algoritmo sencillo en Python o en hoja de cálculo que calcule el núclido producto a partir del núclido inicial y la partícula emitida.</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Balancea tú cinco ecuaciones nucleares (desintegraciones alfa, beta menos y positrón, y una transmutación como la de Rutherford con nitrógeno-14) conservando A y Z. Luego pídele a la IA que complete las mismas ecuaciones y revisa la suma de números másicos y atómicos de cada lado. Comprueba en el simulador de isótopos los núcleos obtenidos.
Evidencia: Tabla «Ecuación · Mi partícula o núcleo faltante · Respuesta de IA · Suma de A · Suma de Z · ¿Correcta?». Encierra cada error de la IA. Anota una línea en el registro de uso de IA.
Refuerza con: PhET «Isótopos y masa atómica» (https://phet.colorado.edu/sims/html/isotopes-and-atomic-mass/latest/isotopes-and-atomic-mass_es.html)
→ PISA E3 · TIMSS Aplicar</t>
    </r>
  </si>
  <si>
    <t>D4 · Resuelve la disociación del N₂O₄ en NO₂ con datos de laboratorio publicados y concluye el grado de disociación a dos temperaturas.</t>
  </si>
  <si>
    <t>Convivir
Comparte el algoritmo con sus compañeros, explica su lógica y acepta sugerencias para mejorarlo.
↳ Se trabaja en la actividad digital (DigComp 3.4).</t>
  </si>
  <si>
    <t>E3 · Predice cuándo es válida la aproximación de x pequeña y justifica su uso comparando con la solución de la ecuación cuadrática.</t>
  </si>
  <si>
    <t>Colaboración (Explicar)
Resuelve en parejas problemas ICE alternando los roles de quien plantea la tabla y quien verifica los cálculos.</t>
  </si>
  <si>
    <t>Nuevo (planeador)
Planeador Química II · 6.5</t>
  </si>
  <si>
    <t>Aplicar: resolver tablas ICE y calcular α. Razonar: interpretar la magnitud de K y validar aproximaciones</t>
  </si>
  <si>
    <t>Colección de problemas ICE resueltos con cálculo de α y verificación de la aproximación de x pequeña</t>
  </si>
  <si>
    <t>12.10. Calcula concentraciones en el equilibrio y el grado de disociación con tablas ICE, e interpreta la magnitud de K para predecir la extensión de la reacción.</t>
  </si>
  <si>
    <t>Series de desintegración
Serie del uranio-238
Isótopo estable final</t>
  </si>
  <si>
    <t>8.3. Reconstrucción de una serie de desintegración radiactiva natural a partir de la secuencia de emisiones alfa y beta.</t>
  </si>
  <si>
    <r>
      <rPr>
        <rFont val="Arial"/>
        <color theme="1"/>
        <sz val="9.0"/>
      </rPr>
      <t>5.2 Identificación de necesidades y respuestas tecnológicas – Básico</t>
    </r>
    <r>
      <rPr>
        <rFont val="Arial"/>
        <color rgb="FF7030A0"/>
        <sz val="9.0"/>
      </rPr>
      <t xml:space="preserve">
Con la IA (DigComp 3.0, nivel real): CS1.2.13 – Intermedio: valora qué tan confiable es una fuente, teniendo en cuenta el papel de la IA.</t>
    </r>
  </si>
  <si>
    <t>E6 · Reconoce que el radón presente en algunos sótanos proviene de la serie de desintegración del uranio contenido en rocas y suelos.</t>
  </si>
  <si>
    <t>E3 · Pregunta guía: «¿Cuántas emisiones alfa y beta se necesitan para pasar de uranio-238 a plomo-206?», y justifica su estimación.</t>
  </si>
  <si>
    <r>
      <rPr>
        <rFont val="Arial"/>
        <color theme="1"/>
        <sz val="9.0"/>
      </rPr>
      <t>Seleccionar entre calculadora gráfica, GeoGebra u hoja de cálculo la herramienta más adecuada para resolver las ecuaciones cuadráticas de equilibrio.</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Resuelve tú dos problemas de tu libro con tablas ICE: uno con K grande y otro con K pequeña, y calcula el grado de disociación. Decide si es válida la aproximación de x pequeña. Luego pregúntale al cuaderno de NotebookLM: «¿Cuándo se puede despreciar x en una tabla ICE?». Comprueba si aplicaste bien ese criterio.
Evidencia: Dos tablas ICE resueltas con el grado de disociación; «Respuesta de IA» con su cita; ✔/✘ sobre la aproximación. Una línea en tu registro de uso de IA.
→ PISA E3 · TIMSS Aplicar</t>
    </r>
  </si>
  <si>
    <t>E2 · Representa la serie del uranio-238 en una gráfica de N frente a Z con flechas para cada emisión alfa y beta.</t>
  </si>
  <si>
    <t>Convivir
Alterna los roles con su pareja de forma equitativa y ofrece ayuda sin resolver el trabajo por el otro.</t>
  </si>
  <si>
    <t>D4 · Calcula a partir del cambio total de A y Z el número de emisiones alfa y beta y verifica el resultado con la gráfica.</t>
  </si>
  <si>
    <t>Nuevo (planeador)
Planeador Química I · 14.3</t>
  </si>
  <si>
    <t>E3 · Predice el isótopo final de la serie del torio-232 aplicando el mismo razonamiento y justifica su respuesta.</t>
  </si>
  <si>
    <t>Colaboración (Explicar)
Construye con su equipo la gráfica completa de la serie, asignando a cada integrante un tramo de desintegraciones.</t>
  </si>
  <si>
    <t>Aplicar: calcular emisiones alfa y beta. Razonar: interpretar la serie en una gráfica N frente a Z</t>
  </si>
  <si>
    <t>Cociente de reacción Q
Principio de Le Châtelier cuantitativo</t>
  </si>
  <si>
    <t>Gráfica N frente a Z de la serie del uranio-238 con el cálculo del número de emisiones</t>
  </si>
  <si>
    <t>12.5. Predicción cuantitativa del sentido de la reacción comparando Q con K tras perturbaciones de concentración, presión y temperatura.</t>
  </si>
  <si>
    <t>8.3. Reconstruye la serie de desintegración del uranio-238 hasta el plomo-206 y calcula el número de emisiones alfa y beta a partir del cambio de A y Z.</t>
  </si>
  <si>
    <t>E1 · Recuerda el principio de Le Châtelier de 9.° y observa el cambio de color del azul de bromotimol al burbujear CO₂ en agua.</t>
  </si>
  <si>
    <t>D1 · Pregunta guía: «¿Cómo podemos saber hacia dónde se desplazará una reacción sin esperar a que cambie de color?».</t>
  </si>
  <si>
    <r>
      <rPr>
        <rFont val="Arial"/>
        <color theme="1"/>
        <sz val="9.0"/>
      </rPr>
      <t>5.3 Identificación de soluciones creativas con tecnologías digitales – Básico</t>
    </r>
    <r>
      <rPr>
        <rFont val="Arial"/>
        <color rgb="FF7030A0"/>
        <sz val="9.0"/>
      </rPr>
      <t xml:space="preserve">
Con la IA (DigComp 3.0, nivel real): CS1.2.13 – Intermedio: valora qué tan confiable es una fuente, teniendo en cuenta el papel de la IA.</t>
    </r>
  </si>
  <si>
    <t>E1 · Aplica la comparación entre Q y K para decidir si un sistema está en equilibrio o si avanzará hacia productos o hacia reactivos.</t>
  </si>
  <si>
    <t>D2 · Propone un diseño con jeringas selladas de agua carbonatada e indicador para variar la presión y observar el desplazamiento del equilibrio.</t>
  </si>
  <si>
    <t>D3 · Evalúa si el cambio de color al comprimir y expandir la jeringa es evidencia suficiente del desplazamiento del equilibrio del CO₂ y propone un control adicional.</t>
  </si>
  <si>
    <t>Comunicación (Indagar)
Comunica en un informe breve cómo el cálculo de Q confirma las observaciones del experimento con la jeringa.</t>
  </si>
  <si>
    <t>Aplicar: calcular Q y compararlo con K. Razonar: predecir y verificar desplazamientos del equilibrio</t>
  </si>
  <si>
    <t>Informe experimental con cálculo de Q antes y después de la perturbación y registro fotográfico de colores</t>
  </si>
  <si>
    <t>12.11. Predice el sentido de desplazamiento de un sistema perturbado comparando Q con K y calcula la nueva composición de equilibrio.</t>
  </si>
  <si>
    <r>
      <rPr>
        <rFont val="Arial"/>
        <color theme="1"/>
        <sz val="9.0"/>
      </rPr>
      <t>Usar un simulador de desintegración radiactiva para recorrer la serie del uranio sin manipular fuentes radiactivas reales.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A partir del uranio-238, reconstruye tú la serie de desintegración aplicando la secuencia de emisiones alfa y beta que da la unidad, y calcula A y Z en cada paso hasta llegar al isótopo estable. Dibuja la serie en una gráfica de Z contra A. Luego pregunta al cuaderno de la unidad en NotebookLM: «¿Cuál es el isótopo estable final de la serie del uranio-238 y cuántas emisiones alfa y beta hay?» y compara.
Evidencia: Tu gráfica Z vs. A con cada núcleo, el conteo de emisiones y la respuesta del cuaderno rotulada «Respuesta de IA». Cierra con «Mi serie coincidió en… / corregí…» y una línea en el registro de uso de IA.
Refuerza con: PhET «Isótopos y masa atómica» (https://phet.colorado.edu/sims/html/isotopes-and-atomic-mass/latest/isotopes-and-atomic-mass_es.html)
→ PISA D4 · TIMSS Razonar</t>
    </r>
  </si>
  <si>
    <t>Convivir
Coordina con su equipo la unión de los tramos de la gráfica y valora el aporte de cada integrante.</t>
  </si>
  <si>
    <r>
      <rPr>
        <rFont val="Arial"/>
        <color theme="1"/>
        <sz val="9.0"/>
      </rPr>
      <t>2.5 Comportamiento digital – Básico</t>
    </r>
    <r>
      <rPr>
        <rFont val="Arial"/>
        <color rgb="FF7030A0"/>
        <sz val="9.0"/>
      </rPr>
      <t xml:space="preserve">
Con la IA (DigComp 3.0, nivel real): CS1.2.13 – Intermedio: valora qué tan confiable es una fuente, teniendo en cuenta el papel de la IA.</t>
    </r>
  </si>
  <si>
    <t>Nuevo (planeador)
Planeador Física II · 16.8</t>
  </si>
  <si>
    <r>
      <rPr>
        <rFont val="Arial"/>
        <color theme="1"/>
        <sz val="9.0"/>
      </rPr>
      <t>Publicar sus fotografías del experimento en el aula virtual siguiendo normas de netiqueta y sin mostrar rostros de compañeros sin su permiso.</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Llena dos vasos con agua con gas: deja uno abierto y tapa bien el otro con plástico; observa las burbujas durante 10 minutos. Predice tú qué pasa con el equilibrio CO₂(g) ⇌ CO₂(ac) en cada caso calculando si Q es mayor o menor que K. Pregúntale al cuaderno de NotebookLM: «¿Cómo predice el cociente Q el sentido de la reacción?» y compara con tu observación.
Evidencia: Tabla de observaciones; tu razonamiento con Q y K; «Respuesta de IA» con su cita y ✔/✘. Una línea en tu registro de uso de IA.
→ PISA D2 · TIMSS Razonar</t>
    </r>
  </si>
  <si>
    <t>Convivir
Solicita el consentimiento de sus compañeros antes de publicar fotografías en las que aparecen.
↳ Se trabaja en la actividad digital (DigComp 2.5).</t>
  </si>
  <si>
    <t>9. Compuestos del carbono</t>
  </si>
  <si>
    <t>Fundamentos de la reactividad orgánica</t>
  </si>
  <si>
    <t>Nuevo (planeador)
Planeador Química I · 14.4</t>
  </si>
  <si>
    <t>Ruptura homolítica y heterolítica
Radicales, carbocationes y carbaniones
Reactivos nucleófilos y electrófilos</t>
  </si>
  <si>
    <t>9.1. Diferenciación de la ruptura homolítica y heterolítica de enlaces y clasificación de los reactivos orgánicos en nucleófilos, electrófilos y radicales.</t>
  </si>
  <si>
    <t>Predice los productos de reacciones orgánicas de sustitución, adición, eliminación, oxidación y condensación a partir de los grupos funcionales de los reactivos. Explica mecanismos sencillos de reacción mediante la ruptura y formación de enlaces.</t>
  </si>
  <si>
    <t>Interés por comprender las transformaciones de los compuestos orgánicos presentes en la vida diaria. Prudencia y responsabilidad en el uso, almacenamiento y descarte de compuestos orgánicos.</t>
  </si>
  <si>
    <t>Leyenda:</t>
  </si>
  <si>
    <t>E1 · Recuerda la polaridad del enlace y la electronegatividad para anticipar dónde se rompe un enlace carbono-halógeno.</t>
  </si>
  <si>
    <t>E5 · Formula una hipótesis sobre por qué algunos reactivos buscan zonas con carga parcial positiva y otros zonas con carga negativa.</t>
  </si>
  <si>
    <t>E4 · Representa con flechas curvas la ruptura homolítica y heterolítica de un mismo enlace y los intermediarios que se forman.</t>
  </si>
  <si>
    <t>D4 · Clasifica doce especies químicas como nucleófilos, electrófilos o radicales y concluye qué rasgo estructural las define.</t>
  </si>
  <si>
    <t>E3 · Predice qué átomo de una molécula será atacado por un nucleófilo y justifica con las cargas parciales.</t>
  </si>
  <si>
    <t>Comunicación (Explicar)
Explica a la clase con un esquema conceptual la diferencia entre nucleófilos y electrófilos usando ejemplos concretos.</t>
  </si>
  <si>
    <t>Conocer: definir tipos de ruptura. Razonar: clasificar reactivos según su estructura electrónica</t>
  </si>
  <si>
    <t>Esquema conceptual de rupturas y reactivos con la clasificación justificada de doce especies</t>
  </si>
  <si>
    <t>Unidad de la malla oficial de El Salvador (textos oficiales sin cambios; solo se renumeran según la posición de la unidad en el año)</t>
  </si>
  <si>
    <t>INDAGACIÓN: Relacionar la estructura de los grupos funcionales con su comportamiento químico, mediante el análisis de ecuaciones, mecanismos y observaciones experimentales, para predecir los productos de las reacciones orgánicas y valorar el uso seguro de estos compuestos.</t>
  </si>
  <si>
    <t>9.1. Diferencia la ruptura homolítica de la heterolítica y clasifica reactivos orgánicos como nucleófilos, electrófilos o radicales según su distribución electrónica.</t>
  </si>
  <si>
    <t>La reactividad de los compuestos del carbono depende de sus grupos funcionales y del tipo de ruptura de sus enlaces. Comprender estas reacciones permite explicar la obtención de combustibles, medicamentos, aromas y materiales, y usar los compuestos orgánicos de manera segura y responsable.</t>
  </si>
  <si>
    <t>Unidad nueva de la base sugerida (desarrollada con los planeadores o propuesta)</t>
  </si>
  <si>
    <r>
      <rPr>
        <rFont val="Arial"/>
        <color theme="1"/>
        <sz val="9.0"/>
      </rPr>
      <t>3.1 Desarrollo de contenidos digitales – Básico</t>
    </r>
    <r>
      <rPr>
        <rFont val="Arial"/>
        <color rgb="FF7030A0"/>
        <sz val="9.0"/>
      </rPr>
      <t xml:space="preserve">
Con la IA (DigComp 3.0, nivel real): CS1.2.13 – Intermedio: valora qué tan confiable es una fuente, teniendo en cuenta el papel de la IA.</t>
    </r>
  </si>
  <si>
    <t>Contenido nuevo: contenido, subcontenidos, procedimental e indicador redactados para esta malla</t>
  </si>
  <si>
    <r>
      <rPr>
        <rFont val="Arial"/>
        <color theme="1"/>
        <sz val="9.0"/>
      </rPr>
      <t>Elaborar el esquema conceptual en una herramienta digital de mapas mentales con estructuras dibujadas en un editor molecular.</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Dibuja tú con flechas curvas la ruptura homolítica del Cl–Cl y la heterolítica del enlace C–Br del bromuro de terc-butilo, e indica qué especie se forma (radical, carbocatión o carbanión). Clasifica como nucleófilo, electrófilo o radical: OH⁻, H2O, NH3, H⁺, Cl· y un carbocatión. Luego pregunta al cuaderno de la unidad en NotebookLM: «¿Cómo se reconoce si un reactivo es nucleófilo o electrófilo?» y revisa tu clasificación.
Evidencia: Tus dibujos con flechas y la tabla «Especie · Mi clasificación · Criterio del cuaderno (Respuesta de IA) · ¿Coincide?». Marca ✔ o ✘ y anota una línea en el registro de uso de IA.
→ PISA E3 · TIMSS Aplicar</t>
    </r>
  </si>
  <si>
    <t>Uso ético de la información
Cita el editor molecular y las fuentes de consulta usadas en la elaboración del esquema conceptual.
↳ Se trabaja en la actividad digital (DigComp 3.1).</t>
  </si>
  <si>
    <t>Microhabilidades PISA 2025 por fase (E = explicar, D = diseñar e interpretar, I = usar información)</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</si>
  <si>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En los mecanismos, las flechas curvas de cabeza completa representan el movimiento de un par de electrones y las de media cabeza, de un electrón. Los grupos alquilo se representan con R y los reactivos se escriben sobre la flecha de reacción. Simbología utilizada para la representación de magnitudes de interés en la unidad: ΔH: entalpía de reacción, en kilojoules por mol, kJ/mol. m: masa, en gramos, g. n: cantidad de sustancia, en moles, mol. η: rendimiento de reacción, en porcentaje, %. T: temperatura, en grados Celsius, °C.</t>
  </si>
  <si>
    <t>Nuevo (planeador)
Planeador Química II · 8.2</t>
  </si>
  <si>
    <t>Habilidad del siglo XXI: una por tema, en una fase de la secuencia</t>
  </si>
  <si>
    <t>Sustitución
Adición
Eliminación</t>
  </si>
  <si>
    <t>9.2. Clasificación de reacciones orgánicas en sustitución, adición y eliminación a partir de los cambios en la estructura de los reactivos.</t>
  </si>
  <si>
    <t>E1 · Recuerda la diferencia entre enlaces simples, dobles y triples en los hidrocarburos estudiados en la nomenclatura orgánica.</t>
  </si>
  <si>
    <t>D1 · Pregunta guía: «¿Qué cambia en una molécula cuando un doble enlace desaparece o cuando un átomo es reemplazado por otro?».</t>
  </si>
  <si>
    <t>E2 · Representa con fórmulas estructurales un ejemplo de sustitución, uno de adición y uno de eliminación.</t>
  </si>
  <si>
    <t>D4 · Analiza quince ecuaciones orgánicas, identifica el tipo de reacción y concluye qué indicios estructurales permiten reconocerlo.</t>
  </si>
  <si>
    <t>E3 · Predice el producto de la eliminación de agua en un alcohol y justifica la formación del doble enlace.</t>
  </si>
  <si>
    <t>Colaboración (Indagar)
Juega en equipo a clasificar tarjetas de reacciones y acuerda criterios comunes antes de dar la respuesta.</t>
  </si>
  <si>
    <t>Aplicar: representar reacciones con fórmulas. Razonar: clasificar reacciones según cambios estructurales</t>
  </si>
  <si>
    <t>Tabla de quince reacciones clasificadas con los criterios estructurales utilizados</t>
  </si>
  <si>
    <t>9.2. Determina si una reacción orgánica es de sustitución, adición o eliminación comparando la estructura de reactivos y productos.</t>
  </si>
  <si>
    <r>
      <rPr>
        <rFont val="Arial"/>
        <color theme="1"/>
        <sz val="9.0"/>
      </rPr>
      <t>2.1 Interacción a través de y con tecnologías digitales – Básico</t>
    </r>
    <r>
      <rPr>
        <rFont val="Arial"/>
        <color rgb="FF7030A0"/>
        <sz val="9.0"/>
      </rPr>
      <t xml:space="preserve">
Con la IA (DigComp 3.0, nivel real): CS1.2.13 – Intermedio: valora qué tan confiable es una fuente, teniendo en cuenta el papel de la IA.</t>
    </r>
  </si>
  <si>
    <t>Habilidad transversal: una por tema, dentro de una actividad existente</t>
  </si>
  <si>
    <r>
      <rPr>
        <rFont val="Arial"/>
        <color theme="1"/>
        <sz val="9.0"/>
      </rPr>
      <t>Participar en un cuestionario interactivo del aula virtual para clasificar reacciones y comentar las respuestas del grupo.</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Compara la estructura de reactivos y productos en seis reacciones de la unidad y clasifícalas tú en sustitución, adición o eliminación, explicando qué enlaces se rompen y se forman. Arma una de cada tipo en el simulador de moléculas. Luego pregunta al cuaderno de la unidad en NotebookLM: «¿Qué cambio estructural distingue una adición de una eliminación?» y revisa tus decisiones.
Evidencia: Tabla «Reacción · Enlaces que se rompen · Enlaces que se forman · Mi clasificación · Criterio del cuaderno (Respuesta de IA)», con tres capturas del simulador. Marca ✔ o ✘ y anota una línea en el registro de uso de IA.
Refuerza con: PhET «Construye una molécula» (https://phet.colorado.edu/sims/html/build-a-molecule/latest/build-a-molecule_es.html)
→ PISA E3 · TIMSS Aplicar</t>
    </r>
  </si>
  <si>
    <t>Convivir
Respeta los tiempos de respuesta de sus compañeros en el cuestionario y comenta con cortesía los errores.
↳ Se trabaja en la actividad digital (DigComp 2.1).</t>
  </si>
  <si>
    <t>Nuevo (planeador)
Planeador Química II · 8.3</t>
  </si>
  <si>
    <t>Texto en morado: intervención de IA (09/10/2026; reaplicada el 12/10/2026 sobre la versión editada). Cada subcontenido tiene una actividad con IA en «Actividad digital», pensada para que el estudiante la realice solo o en pareja, con herramienta, medio, evidencia y enlaces explícitos. En «Competencia digital» se indica el descriptor DigComp 3.0 que trabaja y su nivel real. Herramientas, enlaces y reglas: hoja «Herramientas IA».</t>
  </si>
  <si>
    <t>Reacciones de los hidrocarburos</t>
  </si>
  <si>
    <t>Combustión completa e incompleta
Halogenación de alcanos
Adición a alquenos y sustitución aromática</t>
  </si>
  <si>
    <t>9.3. Representación de las reacciones de combustión, halogenación y adición de los hidrocarburos alifáticos y aromáticos.</t>
  </si>
  <si>
    <t>E6 · Reconoce que la combustión incompleta en cocinas de leña y vehículos produce monóxido de carbono y hollín que afectan la salud.</t>
  </si>
  <si>
    <t>E3 · Pregunta guía: «¿Por qué el eteno decolora el agua de bromo y el benceno no?», y justifica su respuesta.</t>
  </si>
  <si>
    <t>E2 · Escribe las ecuaciones de combustión completa e incompleta del propano y de adición de bromo y agua al eteno.</t>
  </si>
  <si>
    <t>D4 · Observa en un video la prueba del agua de bromo con distintos hidrocarburos y concluye cuáles son insaturados.</t>
  </si>
  <si>
    <t>E6 · Relaciona las emisiones de la combustión incompleta con la calidad del aire en el área metropolitana de San Salvador.</t>
  </si>
  <si>
    <t>Pensamiento crítico (Reforzar)
Evalúa con ecuaciones balanceadas por qué una combustión incompleta es más peligrosa y menos eficiente que la completa.</t>
  </si>
  <si>
    <t>Aplicar: escribir y balancear reacciones de hidrocarburos. Razonar: explicar diferencias de reactividad</t>
  </si>
  <si>
    <t>Hoja de ecuaciones balanceadas de combustión, halogenación y adición con conclusiones del video</t>
  </si>
  <si>
    <t>9.3. Escribe y balancea reacciones de combustión, halogenación por radicales y adición a alquenos, y explica la diferente reactividad del benceno.</t>
  </si>
  <si>
    <r>
      <rPr>
        <rFont val="Arial"/>
        <color theme="1"/>
        <sz val="9.0"/>
      </rPr>
      <t>5.2 Identificación de necesidades y respuestas tecnológicas – Básico</t>
    </r>
    <r>
      <rPr>
        <rFont val="Arial"/>
        <color rgb="FF7030A0"/>
        <sz val="9.0"/>
      </rPr>
      <t xml:space="preserve">
Con la IA (DigComp 3.0, nivel real): CS1.2.08 – Intermedio: reconoce que los datos con que se entrena una IA influyen en qué tan confiable es.</t>
    </r>
  </si>
  <si>
    <r>
      <rPr>
        <rFont val="Arial"/>
        <color theme="1"/>
        <sz val="9.0"/>
      </rPr>
      <t>Seleccionar la herramienta digital adecuada, como un editor molecular o un simulador de reacciones, para representar la adición al eteno.</t>
    </r>
    <r>
      <rPr>
        <rFont val="Arial"/>
        <color rgb="FF7030A0"/>
        <sz val="9.0"/>
      </rPr>
      <t xml:space="preserve">
IA (Indagar · el estudiante, solo o en pareja).
Herramienta y medio: Climate TRACE (climatetrace.org) en el navegador, sin cuenta.
Actividad: Escribe y balancea tú la combustión completa e incompleta del propano y del octano, y explica por qué la incompleta produce CO y hollín. No hagas combustiones. Luego en Climate TRACE observa las emisiones estimadas del transporte por carretera en San Salvador y compáralas con otra ciudad del país. ¿Qué relación hay entre el tipo de combustión y la calidad del aire? Contrasta con el Observatorio del MARN.
Evidencia: Tus cuatro ecuaciones balanceadas, la tabla «Lugar · Emisiones del transporte (Climate TRACE, hecho con IA)» y lo que reporta el MARN sobre calidad del aire. Cierra con una limitación de los datos estimados y una línea en el registro de uso de IA.
Refuerza con: PhET «Balanceo de ecuaciones químicas» (https://phet.colorado.edu/sims/html/balancing-chemical-equations/latest/balancing-chemical-equations_es.html) · Observatorio de Amenazas (MARN): pronóstico, calidad del aire, hidrología (https://www.snet.gob.sv)
→ PISA D4 · TIMSS Razonar</t>
    </r>
  </si>
  <si>
    <t>Respeto al medio ambiente, entorno y territorio
Propone acciones para reducir la combustión incompleta en el hogar y mejorar la calidad del aire de su comunidad.</t>
  </si>
  <si>
    <t>Nuevo (planeador)
Planeador Química II · 8.4</t>
  </si>
  <si>
    <t>Reacciones de compuestos oxigenados</t>
  </si>
  <si>
    <t>Oxidación de alcoholes primarios y secundarios
Aldehídos y cetonas
Ácidos carboxílicos</t>
  </si>
  <si>
    <t>9.4. Predicción de los productos de la oxidación de alcoholes primarios, secundarios y terciarios y diferenciación de aldehídos y cetonas por su reactividad.</t>
  </si>
  <si>
    <t>E1 · Recuerda la clasificación de alcoholes en primarios, secundarios y terciarios estudiada en la nomenclatura orgánica.</t>
  </si>
  <si>
    <t>E5 · Formula una hipótesis sobre por qué el vino expuesto al aire se transforma en vinagre con el tiempo.</t>
  </si>
  <si>
    <t>E2 · Escribe las ecuaciones de oxidación del etanol a etanal y a ácido etanoico, y del 2-propanol a propanona.</t>
  </si>
  <si>
    <t>D4 · Interpreta videos de las pruebas de Tollens y Fehling con aldehídos y cetonas y concluye cuál grupo funcional se oxida.</t>
  </si>
  <si>
    <t>E3 · Predice el producto de oxidación de un alcohol desconocido a partir de su fórmula y justifica si reacciona o no.</t>
  </si>
  <si>
    <t>Creatividad (Aproximar)
Crea una historieta original que narre la transformación del etanol del vino en ácido acético en el vinagre.</t>
  </si>
  <si>
    <t>Aplicar: escribir reacciones de oxidación. Razonar: predecir productos según el tipo de alcohol</t>
  </si>
  <si>
    <t>Historieta científica y hoja de ecuaciones de oxidación de alcoholes con interpretación de las pruebas de Tollens y Fehling</t>
  </si>
  <si>
    <t>9.4. Predice si la oxidación de un alcohol produce un aldehído, una cetona o un ácido carboxílico y diferencia aldehídos de cetonas por su comportamiento frente a oxidantes.</t>
  </si>
  <si>
    <r>
      <rPr>
        <rFont val="Arial"/>
        <color theme="1"/>
        <sz val="9.0"/>
      </rPr>
      <t>3.3 Derechos de autor y licencias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</si>
  <si>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Publicar la historieta con una licencia Creative Commons elegida por el grupo y citar las fuentes de las imágenes reutilizadas.</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Predice tú los productos de oxidar suavemente y de forma fuerte el 1-propanol, el 2-propanol y el 2-metil-2-propanol, y explica por qué el alcohol terciario no se oxida. Es un ejercicio en papel. Luego pídele a la IA las mismas predicciones y revisa si nombra bien cada aldehído, cetona o ácido y si distingue los aldehídos de las cetonas por su facilidad para oxidarse.
Evidencia: Tabla «Alcohol · Tipo · Mi producto · Producto según la IA (Respuesta de IA) · ¿Correcto?», con estructuras dibujadas. Encierra cada error de la IA y corrígelo. Anota una línea en el registro de uso de IA.
→ PISA E3 · TIMSS Aplicar</t>
    </r>
  </si>
  <si>
    <t>Uso ético de la información
Respeta los derechos de autor de las imágenes y declara la licencia de su propia historieta.
↳ Se trabaja en la actividad digital (DigComp 3.3).</t>
  </si>
  <si>
    <t>Nuevo (planeador)
Planeador Química II · 8.5 y 8.10</t>
  </si>
  <si>
    <t>Esterificación de Fischer
Hidrólisis ácida y básica de ésteres
Ésteres en aromas y fragancias</t>
  </si>
  <si>
    <t>9.5. Representación de la esterificación entre ácidos carboxílicos y alcoholes y de la hidrólisis ácida y básica de los ésteres.</t>
  </si>
  <si>
    <t>E6 · Reconoce que muchos aromas de frutas usados en la industria alimentaria son ésteres obtenidos por esterificación.</t>
  </si>
  <si>
    <t>D1 · Pregunta guía: «¿Cómo se unen un ácido y un alcohol para formar un éster, y qué molécula se libera?».</t>
  </si>
  <si>
    <t>E2 · Escribe la esterificación del ácido etanoico con distintos alcoholes y nombra cada éster con las reglas IUPAC.</t>
  </si>
  <si>
    <t>D4 · Analiza un video de la síntesis de un éster realizada por la docente y concluye cómo el ácido sulfúrico y el exceso de alcohol aumentan el rendimiento.</t>
  </si>
  <si>
    <t>E3 · Predice los productos de la hidrólisis básica de un éster y justifica por qué esta reacción no es reversible.</t>
  </si>
  <si>
    <t>Comunicación (Indagar)
Redacta un informe técnico claro que explique la síntesis observada y el papel del catalizador ácido.</t>
  </si>
  <si>
    <t>Conocer: nombrar los productos de la esterificación y la hidrólisis. Aplicar: escribir reacciones de esterificación e hidrólisis. Razonar: explicar la reversibilidad de la esterificación</t>
  </si>
  <si>
    <t>Informe técnico con ecuaciones de esterificación e hidrólisis y análisis del rendimiento de la síntesis observada</t>
  </si>
  <si>
    <t>9.5. Escribe las ecuaciones de esterificación e hidrólisis de ésteres, nombra los productos y explica por qué la esterificación es una reacción reversible.</t>
  </si>
  <si>
    <r>
      <rPr>
        <rFont val="Arial"/>
        <color theme="1"/>
        <sz val="9.0"/>
      </rPr>
      <t>2.2 Compartir a través de tecnologías digitales – Básico</t>
    </r>
    <r>
      <rPr>
        <rFont val="Arial"/>
        <color rgb="FF7030A0"/>
        <sz val="9.0"/>
      </rPr>
      <t xml:space="preserve">
Con la IA (DigComp 3.0, nivel real): CS1.2.13 – Intermedio: valora qué tan confiable es una fuente, teniendo en cuenta el papel de la IA.</t>
    </r>
  </si>
  <si>
    <r>
      <rPr>
        <rFont val="Arial"/>
        <color theme="1"/>
        <sz val="9.0"/>
      </rPr>
      <t>Compartir el informe técnico en el aula virtual con el formato de archivo y el nombre acordados por la clase.</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Huele de lejos un guineo maduro, una piña y una esencia de vainilla o de fresa artificial, y anota qué aroma reconoces. Dibuja la esterificación de Fischer del ácido acético con el alcohol isoamílico (aroma de guineo) y la hidrólisis básica del éster. Es un ejercicio en papel. Luego pregunta al cuaderno de la unidad en NotebookLM: «¿Qué ésteres dan el aroma al guineo y a la piña?» y comprueba tus estructuras.
Evidencia: Tus ecuaciones de esterificación e hidrólisis con estructuras, y la tabla «Fruta · Éster que predije · Éster según el cuaderno (Respuesta de IA) · ¿Coincide?». Anota una línea en el registro de uso de IA.
Refuerza con: PhET «Construye una molécula» (https://phet.colorado.edu/sims/html/build-a-molecule/latest/build-a-molecule_es.html)
→ PISA E3 · TIMSS Aplicar</t>
    </r>
  </si>
  <si>
    <t>Uso ético de la información
Presenta los datos del video indicando su procedencia y sin atribuirse resultados que no obtuvo.
↳ Se trabaja en la actividad digital (DigComp 2.2).</t>
  </si>
  <si>
    <t>Nuevo (planeador)
Planeador Química II · 8.6 y 8.7</t>
  </si>
  <si>
    <t>Compuestos nitrogenados</t>
  </si>
  <si>
    <t>Basicidad de las aminas
Formación de amidas
Hidrólisis de amidas</t>
  </si>
  <si>
    <t>9.6. Análisis de la basicidad de las aminas y de la formación e hidrólisis de amidas a partir de aminas y ácidos carboxílicos.</t>
  </si>
  <si>
    <t>E1 · Recuerda la definición de base de Brønsted-Lowry vista en 9.° y la aplica al par de electrones libres del nitrógeno de las aminas.</t>
  </si>
  <si>
    <t>E3 · Pregunta guía: «¿Por qué las amidas son mucho menos básicas que las aminas si ambas tienen nitrógeno?», y justifica su respuesta.</t>
  </si>
  <si>
    <t>E4 · Representa con estructuras de resonancia la deslocalización del par libre del nitrógeno en el grupo amida.</t>
  </si>
  <si>
    <t>D4 · Compara valores de pKb de aminas y amidas en una tabla de datos y concluye sobre el efecto del grupo carbonilo.</t>
  </si>
  <si>
    <t>E6 · Relaciona la formación de amidas con el enlace peptídico de las proteínas y con la cafeína presente en el café salvadoreño.</t>
  </si>
  <si>
    <t>Pensamiento crítico (Explicar)
Argumenta con estructuras de resonancia por qué las amidas no se comportan como bases en disolución acuosa.</t>
  </si>
  <si>
    <t>Aplicar: escribir reacciones de formación e hidrólisis de amidas. Razonar: explicar la basicidad con la estructura</t>
  </si>
  <si>
    <t>Hoja de ejercicios con reacciones de amidas, estructuras de resonancia y análisis de valores de pKb</t>
  </si>
  <si>
    <t>9.6. Explica la basicidad de las aminas y escribe las reacciones de formación e hidrólisis de amidas, relacionándolas con el enlace peptídico.</t>
  </si>
  <si>
    <r>
      <rPr>
        <rFont val="Arial"/>
        <color theme="1"/>
        <sz val="9.0"/>
      </rPr>
      <t>1.1 Navegación, búsqueda y filtrado de información – Básico</t>
    </r>
    <r>
      <rPr>
        <rFont val="Arial"/>
        <color rgb="FF7030A0"/>
        <sz val="9.0"/>
      </rPr>
      <t xml:space="preserve">
Con la IA (DigComp 3.0, nivel real): CS1.2.13 – Intermedio: valora qué tan confiable es una fuente, teniendo en cuenta el papel de la IA.</t>
    </r>
  </si>
  <si>
    <r>
      <rPr>
        <rFont val="Arial"/>
        <color theme="1"/>
        <sz val="9.0"/>
      </rPr>
      <t>Buscar en PubChem los valores de pKb y las estructuras de cinco aminas y amidas usando filtros de búsqueda por nombre.</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Exprime limón sobre un trozo de pescado crudo y compara su olor con otro trozo sin limón (no lo comas). Predice antes qué pasará con el olor. Escribe la reacción de una amina con un ácido y explica por qué la sal formada no se evapora. Luego pregunta al cuaderno de la unidad en NotebookLM: «¿Por qué las aminas son básicas y cómo se forma una amida?» y compara con tu observación.
Evidencia: Ficha «Yo pienso · La IA dice · Lo comprobé»: en «Yo pienso», tu predicción; en «La IA dice», la respuesta rotulada «Respuesta de IA»; en «Lo comprobé», tu observación y la ecuación amina + ácido. Marca ✔ o ✘ y anota una línea en el registro de uso de IA.
→ PISA D4 · TIMSS Razonar</t>
    </r>
  </si>
  <si>
    <t>Uso ético de la información
Registra el identificador de PubChem de cada compuesto consultado para que otros puedan verificar los datos.
↳ Se trabaja en la actividad digital (DigComp 1.1).</t>
  </si>
  <si>
    <t>Nuevo (planeador)
Planeador Química II · 8.8 y 8.9</t>
  </si>
  <si>
    <t>U10 - Eje integrador: tecnología</t>
  </si>
  <si>
    <t>10. Polímeros y macromoléculas</t>
  </si>
  <si>
    <t>Reacciones de polimerización</t>
  </si>
  <si>
    <t>Polimerización por adición
Iniciación, propagación y terminación
Polietileno, PVC y poliestireno</t>
  </si>
  <si>
    <t>10.1. Representación de las etapas de la polimerización por adición por radicales libres y relación de las propiedades de los polímeros de adición con sus usos.</t>
  </si>
  <si>
    <t>Relaciona el mecanismo de polimerización y la estructura espacial de un polímero con sus propiedades y aplicaciones. Evalúa con datos el impacto de los plásticos y los microplásticos en los ecosistemas acuáticos y propone alternativas de reducción y reciclaje.</t>
  </si>
  <si>
    <t>Interés por la química de los materiales de uso cotidiano. Responsabilidad ambiental en el consumo, la reutilización y el reciclaje de plásticos.</t>
  </si>
  <si>
    <t>E1 · Recuerda la reacción de adición a alquenos estudiada en la unidad anterior como base de la formación de polímeros.</t>
  </si>
  <si>
    <t>E5 · Formula una hipótesis sobre cómo miles de moléculas pequeñas de eteno pueden unirse para formar una bolsa plástica.</t>
  </si>
  <si>
    <t>E4 · Representa con flechas y radicales las etapas de iniciación, propagación y terminación de la polimerización del eteno.</t>
  </si>
  <si>
    <t>D4 · Relaciona en una tabla cinco monómeros vinílicos con el polímero, sus propiedades y sus usos, y concluye el efecto del sustituyente.</t>
  </si>
  <si>
    <t>E3 · Predice la unidad repetitiva del polímero formado a partir de un monómero nuevo y justifica su estructura.</t>
  </si>
  <si>
    <t>Creatividad (Explorar)
Construye un modelo físico creativo con clips o cuentas de colores que simule la propagación de la cadena polimérica.</t>
  </si>
  <si>
    <t>Aplicar: escribir ecuaciones de polimerización. Razonar: relacionar el sustituyente con las propiedades</t>
  </si>
  <si>
    <t>Modelo físico de polimerización con ecuaciones de las tres etapas y tabla monómero-polímero-uso</t>
  </si>
  <si>
    <t>INDAGACIÓN: Relacionar la estructura de los monómeros y el tipo de polimerización con las propiedades de los polímeros, mediante el análisis de ecuaciones, modelos y datos, para evaluar su uso, su degradación y su impacto en los ecosistemas.</t>
  </si>
  <si>
    <t>10.1. Representa con ecuaciones las etapas de iniciación, propagación y terminación de una polimerización por adición y relaciona el monómero con las propiedades del polímero obtenido.</t>
  </si>
  <si>
    <t>Los polímeros son macromoléculas formadas por la unión repetida de monómeros mediante reacciones de adición o de condensación, y su estructura espacial determina propiedades como la rigidez, la cristalinidad y la resistencia a la degradación. Esta química explica la utilidad de los plásticos y también su persistencia ambiental, lo que exige decisiones responsables de producción, uso y reciclaje.</t>
  </si>
  <si>
    <r>
      <rPr>
        <rFont val="Arial"/>
        <color theme="1"/>
        <sz val="9.0"/>
      </rPr>
      <t>3.1 Desarrollo de contenidos digitales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</si>
  <si>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Elaborar una animación sencilla de diapositivas que muestre las etapas de la polimerización por adición.</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Dibuja tú con flechas las etapas de iniciación, propagación y terminación de la polimerización por radicales del eteno. Luego pídele a la IA el mismo mecanismo y revisa si usa flechas de un solo electrón (medias flechas) y si la terminación es correcta. Finalmente, relaciona en una tabla la estructura del polietileno, el PVC y el poliestireno con un uso de cada uno.
Evidencia: Tu mecanismo dibujado, el de la IA rotulado «Respuesta de IA» con sus errores encerrados, y la tabla «Polímero · Monómero · Propiedad · Uso». Anota una línea en el registro de uso de IA.
→ PISA E3 · TIMSS Aplicar</t>
    </r>
  </si>
  <si>
    <t>Uso ético de la información
Cita las fuentes de las estructuras químicas y respeta la autoría de las animaciones consultadas.
↳ Se trabaja en la actividad digital (DigComp 3.1).</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</si>
  <si>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polímeros se representan con la unidad repetitiva entre corchetes o paréntesis seguida del subíndice n. Simbología utilizada para la representación de magnitudes de interés en la unidad: n: grado de polimerización, adimensional. M: masa molar, en gramos por mol, g/mol. ρ: densidad, en gramos por centímetro cúbico, g/cm³. Tg: temperatura de transición vítrea, en grados Celsius, °C. Tm: temperatura de fusión, en grados Celsius, °C. Tamaño de partícula: en micrómetros, μm, o milímetros, mm.</t>
  </si>
  <si>
    <t>Nuevo (planeador)
Planeador Química II · 9.2</t>
  </si>
  <si>
    <t>Polimerización por condensación
Poliésteres y poliamidas
PET y nailon</t>
  </si>
  <si>
    <t>10.2. Representación de la formación de polímeros de condensación a partir de monómeros bifuncionales y comparación con la polimerización por adición.</t>
  </si>
  <si>
    <t>E1 · Recuerda las reacciones de esterificación y de formación de amidas y las extiende a moléculas con dos grupos funcionales.</t>
  </si>
  <si>
    <t>D1 · Pregunta guía: «¿Qué necesita un monómero para formar una cadena larga por condensación y no solo una molécula pequeña?».</t>
  </si>
  <si>
    <t>E2 · Escribe la formación del PET a partir de un diácido y un dialcohol y la del nailon a partir de una diamina y un diácido.</t>
  </si>
  <si>
    <t>D4 · Observa un video de la síntesis del nailon en la interfase de dos líquidos y concluye qué molécula se libera en la reacción.</t>
  </si>
  <si>
    <t>E3 · Predice si un monómero con un solo grupo funcional puede formar un polímero de condensación y justifica su respuesta.</t>
  </si>
  <si>
    <t>Comunicación (Reforzar)
Expone en un cuadro comparativo las diferencias entre polímeros de adición y de condensación con ejemplos del entorno.</t>
  </si>
  <si>
    <t>Aplicar: representar polimerizaciones por condensación. Razonar: comparar mecanismos de polimerización</t>
  </si>
  <si>
    <t>Cuadro comparativo de polimerización por adición y condensación con las ecuaciones del PET y del nailon</t>
  </si>
  <si>
    <t>10.2. Representa la formación de un poliéster y una poliamida a partir de monómeros bifuncionales e identifica la molécula pequeña que se libera en cada unión.</t>
  </si>
  <si>
    <r>
      <rPr>
        <rFont val="Arial"/>
        <color theme="1"/>
        <sz val="9.0"/>
      </rPr>
      <t>2.6 Gestión de la identidad digital – Básico</t>
    </r>
    <r>
      <rPr>
        <rFont val="Arial"/>
        <color rgb="FF7030A0"/>
        <sz val="9.0"/>
      </rPr>
      <t xml:space="preserve">
Con la IA (DigComp 3.0, nivel real): CS1.2.13 – Intermedio: valora qué tan confiable es una fuente, teniendo en cuenta el papel de la IA.</t>
    </r>
  </si>
  <si>
    <r>
      <rPr>
        <rFont val="Arial"/>
        <color theme="1"/>
        <sz val="9.0"/>
      </rPr>
      <t>Publicar el cuadro comparativo en el aula virtual cuidando que su perfil muestre solo su nombre y datos académicos.</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Dibuja tú la formación del PET a partir de ácido tereftálico y etilenglicol, y la del nailon 6,6 a partir de un diácido y una diamina, marcando la molécula pequeña que se libera. Compara en una tabla con la polimerización por adición. Luego pregunta al cuaderno de la unidad en NotebookLM: «¿Por qué los monómeros de condensación deben ser bifuncionales?» y revisa tu tabla.
Evidencia: Tus dos ecuaciones de condensación y la tabla «Característica · Adición · Condensación», con la explicación rotulada «Respuesta de IA». Cierra con «La IA acertó en… / le faltó…» y una línea en el registro de uso de IA.
Refuerza con: PhET «Construye una molécula» (https://phet.colorado.edu/sims/html/build-a-molecule/latest/build-a-molecule_es.html)
→ PISA E3 · TIMSS Aplicar</t>
    </r>
  </si>
  <si>
    <t>Convivir
Participa en el aula virtual con un perfil adecuado y comenta con respeto los cuadros de sus compañeros.</t>
  </si>
  <si>
    <t>Nuevo (planeador)
Planeador Química II · 9.3</t>
  </si>
  <si>
    <t>Polímeros y ambiente</t>
  </si>
  <si>
    <t>Polímeros biodegradables
Códigos de identificación de resinas
Reciclaje mecánico y químico</t>
  </si>
  <si>
    <t>10.3. Clasificación de los plásticos según su capacidad de degradación y análisis de las alternativas de reciclaje de polímeros.</t>
  </si>
  <si>
    <t>E6 · Reconoce la acumulación de residuos plásticos en quebradas, playas y en el lago de Ilopango durante la época lluviosa.</t>
  </si>
  <si>
    <t>E5 · Formula una hipótesis sobre por qué un plástico «biodegradable» puede no degradarse en un botadero común.</t>
  </si>
  <si>
    <t>E1 · Explica la degradación del ácido poliláctico por hidrólisis de sus enlaces éster frente a la estabilidad del polietileno.</t>
  </si>
  <si>
    <t>I2 · Distingue en etiquetas y anuncios las afirmaciones verificables sobre biodegradabilidad de las afirmaciones publicitarias.</t>
  </si>
  <si>
    <t>I5 · Justifica una propuesta de separación y reciclaje de plásticos para su centro escolar con los códigos de identificación.</t>
  </si>
  <si>
    <t>Colaboración (Reforzar)
Organiza con su equipo un inventario de los plásticos que desecha la escuela clasificados por código de resina.</t>
  </si>
  <si>
    <t>Conocer: clasificar plásticos. Razonar: evaluar la biodegradabilidad y el reciclaje con criterios químicos</t>
  </si>
  <si>
    <t>Inventario escolar de plásticos por código de resina y propuesta justificada de separación y reciclaje</t>
  </si>
  <si>
    <t>10.4. Clasifica plásticos según su código de identificación y su capacidad de degradación, y evalúa críticamente las ventajas y limitaciones de los polímeros biodegradables y del reciclaje.</t>
  </si>
  <si>
    <r>
      <rPr>
        <rFont val="Arial"/>
        <color theme="1"/>
        <sz val="9.0"/>
      </rPr>
      <t>4.4 Protección del medio ambiente – Básico</t>
    </r>
    <r>
      <rPr>
        <rFont val="Arial"/>
        <color rgb="FF7030A0"/>
        <sz val="9.0"/>
      </rPr>
      <t xml:space="preserve">
DigComp 3.0 cambió el nombre de la 4.4: «Impacto ambiental de las tecnologías digitales» (Environmental impacts of digital technologies).
Con la IA (DigComp 3.0, nivel real): CS1.2.14 – Avanzado: examina de forma continua cómo la IA, los sesgos y distintos intereses influyen en la información.</t>
    </r>
  </si>
  <si>
    <r>
      <rPr>
        <rFont val="Arial"/>
        <color theme="1"/>
        <sz val="9.0"/>
      </rPr>
      <t>Calcular la masa de plásticos que desecha el grupo en una semana y comparar el impacto ambiental de reciclar frente a desechar.</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Reúne envases que digan «biodegradable», «compostable» o «eco» y anota su código de resina. Clasifícalos tú según su capacidad real de degradación. Pregunta al cuaderno de la unidad en NotebookLM: «¿Qué diferencia hay entre plástico biodegradable, compostable y oxodegradable, y qué tipos de reciclaje existen?». Compara con lo que prometen las etiquetas e identifica afirmaciones sin respaldo.
Evidencia: Tabla «Envase · Código · Lo que promete · Tipo real según el cuaderno (Respuesta de IA) · Reciclaje posible», con un cartel y la declaración de uso de IA: «Así usé la IA: … · Lo que revisé yo: …».
→ PISA I2 · TIMSS Razonar</t>
    </r>
  </si>
  <si>
    <t>Respeto al medio ambiente, entorno y territorio
Promueve la reducción, la separación y el reciclaje de plásticos en la escuela y en el hogar.
↳ Se trabaja en la actividad digital (DigComp 4.4).</t>
  </si>
  <si>
    <t>Nuevo (planeador)
Planeador Química II · 9.6</t>
  </si>
  <si>
    <t>Microplásticos primarios y secundarios
Identificación por densidad y microscopía
Efectos en ecosistemas acuáticos</t>
  </si>
  <si>
    <t>10.4. Identificación de microplásticos en muestras de arena o agua y análisis de sus efectos en los ecosistemas acuáticos salvadoreños.</t>
  </si>
  <si>
    <t>E6 · Reconoce que los microplásticos llegan a manglares, esteros y playas salvadoreñas como la bahía de Jiquilisco y afectan a peces y moluscos.</t>
  </si>
  <si>
    <t>D1 · Pregunta guía: «¿Hay microplásticos en la arena de una playa o en el sedimento de un río cercano, y cómo se pueden separar?».</t>
  </si>
  <si>
    <t>E1 · Explica por qué la fragmentación de plásticos por la luz solar genera partículas cada vez más pequeñas y persistentes.</t>
  </si>
  <si>
    <t>D4 · Separa los microplásticos por densidad con agua salada saturada y filtración, los cuenta por tipo y color con lupa y concluye con los datos del grupo.</t>
  </si>
  <si>
    <t>I5 · Justifica con los datos del conteo el posible origen de los microplásticos y propone medidas para reducirlos en su comunidad.</t>
  </si>
  <si>
    <t>Pensamiento crítico (Indagar)
Evalúa las fuentes de error y de contaminación de la muestra y propone controles para validar el conteo.</t>
  </si>
  <si>
    <t>Aplicar: separar y contar partículas. Razonar: interpretar datos y concluir sobre el origen</t>
  </si>
  <si>
    <t>Informe de muestreo con conteo de microplásticos por tipo, fotografías y conclusión sobre su origen</t>
  </si>
  <si>
    <t>10.5. Identifica microplásticos en una muestra de arena mediante separación por densidad y observación con lupa, y explica sus efectos en los ecosistemas acuáticos del país.</t>
  </si>
  <si>
    <r>
      <rPr>
        <rFont val="Arial"/>
        <color theme="1"/>
        <sz val="9.0"/>
      </rPr>
      <t>2.3 Participación ciudadana a través de tecnologías digitales – Básico</t>
    </r>
    <r>
      <rPr>
        <rFont val="Arial"/>
        <color rgb="FF7030A0"/>
        <sz val="9.0"/>
      </rPr>
      <t xml:space="preserve">
Con la IA (DigComp 3.0, nivel real): CS1.2.08 – Intermedio: reconoce que los datos con que se entrena una IA influyen en qué tan confiable es.</t>
    </r>
  </si>
  <si>
    <r>
      <rPr>
        <rFont val="Arial"/>
        <color theme="1"/>
        <sz val="9.0"/>
      </rPr>
      <t>Registrar los datos del muestreo en una iniciativa de ciencia ciudadana sobre plásticos en playas y ríos.</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Toma arena de una playa o de la orilla de un río en una zona seca y segura, lejos del agua. Mézclala con agua muy salada, deja reposar y recoge lo que flota. Observa con lupa o con el zoom del teléfono. Entrena en Teachable Machine un modelo con clases «fibra», «fragmento» y «no plástico». Antes, predice qué tipo abundará. Prueba el modelo y compara con tu conteo manual.
Evidencia: Tabla «Partícula · Mi clasificación · Clase del modelo (hecho con IA) · ¿Coinciden?», con el conteo por tipo, el lugar de muestreo (sin personas en las fotos) y una explicación de por qué flotan según la densidad. Anota una línea en el registro de uso de IA.
Refuerza con: PhET «Densidad» (https://phet.colorado.edu/sims/html/density/latest/density_es.html)
→ PISA D4 · TIMSS Razonar</t>
    </r>
  </si>
  <si>
    <t>Convivir
Colabora con la comunidad y otros centros escolares aportando datos confiables a la iniciativa ciudadana.
↳ Se trabaja en la actividad digital (DigComp 2.3).</t>
  </si>
  <si>
    <t>U11 - Eje integrador: organización</t>
  </si>
  <si>
    <t>11. Carbohidratos y lípidos</t>
  </si>
  <si>
    <t>Química de los carbohidratos</t>
  </si>
  <si>
    <t>Aldosas y cetosas
Proyecciones de Fischer y Haworth
Ciclación hemiacetálica y anómeros α y β</t>
  </si>
  <si>
    <t>11.1. Representación de monosacáridos en proyecciones de Fischer y de Haworth y explicación de su ciclación mediante la formación de un hemiacetal.</t>
  </si>
  <si>
    <t>Explica las propiedades químicas de carbohidratos y lípidos a partir de sus grupos funcionales, sus enlaces glucosídicos y éster y su estructura tridimensional. Predice los productos de reacciones de ciclación, hidrólisis, hidrogenación y saponificación.</t>
  </si>
  <si>
    <t>Interés por explicar con la química la composición de los alimentos y productos de uso diario. Responsabilidad en el manejo seguro de reactivos y en la disposición de residuos del laboratorio.</t>
  </si>
  <si>
    <t>E1 · Recuerda la reacción de los aldehídos y cetonas con alcoholes y la aplica a la glucosa, que contiene ambos grupos.</t>
  </si>
  <si>
    <t>E3 · Pregunta guía: «¿Por qué la glucosa en disolución existe casi toda como anillo y no como cadena abierta?», y justifica.</t>
  </si>
  <si>
    <t>E2 · Transforma la proyección de Fischer de la glucosa, la fructosa y la ribosa en su proyección de Haworth.</t>
  </si>
  <si>
    <t>E4 · Construye un modelo molecular de la glucosa y muestra la formación del anillo y de los anómeros α y β.</t>
  </si>
  <si>
    <t>E3 · Predice la estructura cíclica de la galactosa a partir de su proyección de Fischer y justifica la posición de cada hidroxilo.</t>
  </si>
  <si>
    <t>Creatividad (Explicar)
Crea un modelo molecular original con materiales reciclados que muestre la ciclación de la glucosa.</t>
  </si>
  <si>
    <t>Aplicar: transformar proyecciones. Razonar: explicar la ciclación con la reactividad del carbonilo</t>
  </si>
  <si>
    <t>Hoja de proyecciones de Fischer y Haworth de tres monosacáridos y modelo molecular de la ciclación</t>
  </si>
  <si>
    <t>INDAGACIÓN: Relacionar los grupos funcionales y los tipos de enlace de carbohidratos y lípidos con su reactividad, mediante el análisis de fórmulas estructurales y ensayos químicos, para predecir su comportamiento en procesos naturales e industriales.</t>
  </si>
  <si>
    <t>11.1. Transforma la proyección de Fischer de una pentosa o una hexosa en su proyección de Haworth e identifica el carbono anomérico y las formas α y β.</t>
  </si>
  <si>
    <t>Carbohidratos y lípidos son compuestos orgánicos cuyas propiedades dependen de sus grupos hidroxilo, carbonilo y éster y de la forma en que se unen sus unidades. Comprender su química permite explicar la estructura de los alimentos, la fabricación de jabones y biocombustibles, y el aprovechamiento de productos agrícolas del país como la caña, el maíz y el coco.</t>
  </si>
  <si>
    <r>
      <rPr>
        <rFont val="Arial"/>
        <color theme="1"/>
        <sz val="9.0"/>
      </rPr>
      <t>5.3 Identificación de soluciones creativas con tecnologías digitales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</si>
  <si>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Usar un visor molecular en línea con estructuras de PubChem para rotar la glucosa y comparar los anómeros α y β.</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Dibuja tú la glucosa y la fructosa en proyección de Fischer y luego en proyección de Haworth, mostrando cómo el –OH del carbono 5 ataca al grupo carbonilo para formar el hemiacetal. Señala los anómeros α y β. Luego pídele a la IA la misma explicación y revisa si ubica bien el –OH anomérico abajo o arriba del anillo.
Evidencia: Tus proyecciones de Fischer y Haworth con los anómeros marcados, y la respuesta rotulada «Respuesta de IA» con cada error encerrado y corregido. Anota una línea en el registro de uso de IA.
→ PISA E3 · TIMSS Aplicar</t>
    </r>
  </si>
  <si>
    <t>Convivir
Comparte el visor molecular con su pareja y alterna la manipulación del modelo tridimensional.</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</si>
  <si>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monosacáridos se representan en proyección de Fischer y de Haworth, y se indica la configuración D o L y la forma anomérica α o β. Los ácidos grasos se nombran con su nombre sistemático, su nombre común y su notación abreviada C:n con la posición de los dobles enlaces. Simbología utilizada para la representación de magnitudes de interés en la unidad: M: masa molar, en gramos por mol, g/mol. Tf: temperatura de fusión, en grados Celsius, °C. [α]: rotación específica, en grados, °. IS: índice de saponificación, en miligramos de KOH por gramo de grasa, mg KOH/g. II: índice de yodo, en gramos de I₂ por 100 g de grasa.</t>
  </si>
  <si>
    <t>Nuevo (planeador)
Planeador Química II · 10.2</t>
  </si>
  <si>
    <t>Química de los lípidos</t>
  </si>
  <si>
    <t>Ácidos grasos saturados e insaturados
Isomería cis y trans
Nomenclatura sistemática y abreviada</t>
  </si>
  <si>
    <t>11.2. Relación entre la longitud de la cadena, el número de dobles enlaces y la isomería cis-trans de los ácidos grasos y su temperatura de fusión.</t>
  </si>
  <si>
    <t>E1 · Recuerda las fuerzas intermoleculares de dispersión y las relaciona con el estado físico del aceite de coco y del aceite de girasol.</t>
  </si>
  <si>
    <t>E3 · Pregunta guía: «¿Por qué un doble enlace cis baja tanto la temperatura de fusión de un ácido graso?», y justifica su respuesta.</t>
  </si>
  <si>
    <t>E2 · Escribe el nombre sistemático, común y abreviado C:n de seis ácidos grasos a partir de sus fórmulas estructurales.</t>
  </si>
  <si>
    <t>D4 · Grafica la temperatura de fusión frente al número de carbonos y de dobles enlaces de diez ácidos grasos y concluye las tendencias.</t>
  </si>
  <si>
    <t>E3 · Predice la temperatura de fusión relativa de un ácido graso trans frente a su isómero cis y justifica con el empaquetamiento.</t>
  </si>
  <si>
    <t>Pensamiento crítico (Explicar)
Justifica con modelos de empaquetamiento molecular las tendencias observadas en la gráfica de temperaturas de fusión.</t>
  </si>
  <si>
    <t>Aplicar: nombrar ácidos grasos y graficar datos. Razonar: explicar tendencias con fuerzas intermoleculares</t>
  </si>
  <si>
    <t>Gráfica de temperatura de fusión de diez ácidos grasos con nomenclatura y explicación de tendencias</t>
  </si>
  <si>
    <t>11.5. Explica las diferencias en la temperatura de fusión de ácidos grasos según su longitud, insaturación e isomería, y los nombra en forma sistemática, común y abreviada.</t>
  </si>
  <si>
    <r>
      <rPr>
        <rFont val="Arial"/>
        <color theme="1"/>
        <sz val="9.0"/>
      </rPr>
      <t>4.3 Cuidado del bienestar – Básico</t>
    </r>
    <r>
      <rPr>
        <rFont val="Arial"/>
        <color rgb="FF7030A0"/>
        <sz val="9.0"/>
      </rPr>
      <t xml:space="preserve">
Con la IA (DigComp 3.0, nivel real): CS1.2.13 – Intermedio: valora qué tan confiable es una fuente, teniendo en cuenta el papel de la IA.</t>
    </r>
  </si>
  <si>
    <r>
      <rPr>
        <rFont val="Arial"/>
        <color theme="1"/>
        <sz val="9.0"/>
      </rPr>
      <t>Alternar el trabajo en pantalla con el dibujo manual de estructuras y pausas activas durante la sesión de graficación.</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Busca en una fuente oficial (PubChem) la temperatura de fusión de los ácidos láurico, palmítico, esteárico, oleico, elaídico y linoleico. Antes, predice el orden. Grafica la temperatura de fusión contra el número de carbonos y marca los insaturados y la isomería cis-trans. Escribe su nomenclatura abreviada (por ejemplo, 18:1). Luego pregunta al cuaderno de la unidad en NotebookLM por qué el ácido oleico funde más bajo que el elaídico.
Evidencia: Tu gráfica con los seis ácidos, tabla con nomenclatura sistemática y abreviada, y la explicación rotulada «Respuesta de IA». Cierra con «La IA acertó en… / se equivocó en…» y una línea en el registro de uso de IA.
→ PISA D4 · TIMSS Razonar</t>
    </r>
  </si>
  <si>
    <t>Convivir
Ayuda a los compañeros que tienen dificultades con la nomenclatura y respeta su ritmo de trabajo.
↳ Se trabaja en la actividad digital (DigComp 4.3).</t>
  </si>
  <si>
    <t>Nuevo (planeador)
Planeador Química II · 10.7</t>
  </si>
  <si>
    <t>U12 - Eje integrador: organización</t>
  </si>
  <si>
    <t>12. Proteínas y ácidos nucleicos</t>
  </si>
  <si>
    <t>Química de los aminoácidos</t>
  </si>
  <si>
    <t>Carácter anfótero
Ion dipolar (zwitterion)
Punto isoeléctrico</t>
  </si>
  <si>
    <t>12.1. Interpretación de la curva de titulación de un aminoácido para identificar sus formas iónicas y calcular su punto isoeléctrico.</t>
  </si>
  <si>
    <t>Explica el comportamiento ácido-base de los aminoácidos y las interacciones químicas que estabilizan la estructura de proteínas y ácidos nucleicos. Predice el efecto del pH, la temperatura y las sales sobre la estructura de una proteína.</t>
  </si>
  <si>
    <t>Valoración de la química como base para comprender los procesos de la vida. Rigor en la interpretación de datos experimentales y respeto por las normas de seguridad del laboratorio.</t>
  </si>
  <si>
    <t>E1 · Recuerda la titulación ácido-base y los amortiguadores estudiados en 9.° y los aplica a un aminoácido con grupos ácido y básico.</t>
  </si>
  <si>
    <t>E3 · Pregunta guía: «¿Puede una molécula ser ácido y base a la vez y no tener carga neta?», y justifica su respuesta.</t>
  </si>
  <si>
    <t>E2 · Representa las formas catiónica, zwitteriónica y aniónica de la glicina e interpreta su curva de titulación.</t>
  </si>
  <si>
    <t>D4 · Calcula el punto isoeléctrico de cinco aminoácidos con sus pKa y concluye cómo influye un grupo R ácido o básico.</t>
  </si>
  <si>
    <t>E3 · Predice hacia qué electrodo migrará un aminoácido en una electroforesis a pH 7 y justifica con su carga neta.</t>
  </si>
  <si>
    <t>Pensamiento crítico (Indagar)
Contrasta los puntos isoeléctricos calculados con los valores tabulados y explica las diferencias encontradas.</t>
  </si>
  <si>
    <t>Aplicar: calcular el punto isoeléctrico. Razonar: predecir la carga a distintos pH</t>
  </si>
  <si>
    <t>Hoja de cálculo del punto isoeléctrico de cinco aminoácidos con las formas iónicas y la predicción de migración</t>
  </si>
  <si>
    <t>INDAGACIÓN: Relacionar las propiedades ácido-base de los aminoácidos y las fuerzas intermoleculares con la estructura de proteínas y ácidos nucleicos, mediante el análisis de curvas de titulación, modelos moleculares y ensayos de desnaturalización, para predecir su estabilidad en distintas condiciones.</t>
  </si>
  <si>
    <t>12.1. Calcula el punto isoeléctrico de un aminoácido a partir de sus valores de pKa y predice la carga neta que presenta a distintos valores de pH.</t>
  </si>
  <si>
    <t>Las proteínas y los ácidos nucleicos son macromoléculas cuya estructura se sostiene por enlaces covalentes, como el peptídico y el fosfodiéster, y por interacciones débiles como puentes de hidrógeno, interacciones iónicas y fuerzas hidrofóbicas. Comprender estas interacciones explica por qué el pH o la temperatura alteran su función, y fundamenta aplicaciones en alimentos, salud y biotecnología.</t>
  </si>
  <si>
    <r>
      <rPr>
        <rFont val="Arial"/>
        <color theme="1"/>
        <sz val="9.0"/>
      </rPr>
      <t>3.4 Pensamiento computacional y programación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</si>
  <si>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Programar en una hoja de cálculo un algoritmo con condicionales que indique la carga neta de un aminoácido según el pH ingresado.</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Con los pKa de la glicina y del ácido glutámico de la unidad, dibuja tú sus formas iónicas a pH 1, 6 y 12, y calcula su punto isoeléctrico promediando los pKa correctos. Esboza la curva de titulación de la glicina. Luego pídele a la IA los mismos puntos isoeléctricos y revisa si eligió los dos pKa adecuados en el aminoácido ácido.
Evidencia: Tus formas iónicas dibujadas, la curva esbozada y la tabla «Aminoácido · pKa usados · Mi pI · pI de la IA (Respuesta de IA) · ¿Coincide?». Encierra cada error. Anota una línea en el registro de uso de IA.
Refuerza con: PhET «Soluciones ácido-base» (https://phet.colorado.edu/sims/html/acid-base-solutions/latest/acid-base-solutions_es.html)
→ PISA E3 · TIMSS Aplicar</t>
    </r>
  </si>
  <si>
    <t>Convivir
Revisa con su pareja las fórmulas programadas y resuelve los desacuerdos con argumentos químicos.
↳ Se trabaja en la actividad digital (DigComp 3.4).</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</si>
  <si>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aminoácidos se representan con su abreviatura de tres letras o de una letra y los extremos de una cadena se indican como N-terminal y C-terminal; las secuencias de ácidos nucleicos se escriben en sentido 5′→3′. Simbología utilizada para la representación de magnitudes de interés en la unidad: pH: potencial de hidrógeno, adimensional. pKa: logaritmo negativo de la constante de acidez, adimensional. pI: punto isoeléctrico, adimensional. Tm: temperatura de fusión del ADN, en grados Celsius, °C. M: masa molar, en gramos por mol, g/mol, o en kilodaltons, kDa. c: concentración, en moles por litro, mol/L.</t>
  </si>
  <si>
    <t>Nuevo (planeador)
Planeador Química II · 11.1</t>
  </si>
  <si>
    <t>Estructura de las proteínas</t>
  </si>
  <si>
    <t>Enlace peptídico y estructura primaria
Puentes de hidrógeno en hélices α y láminas β
Interacciones en las estructuras terciaria y cuaternaria</t>
  </si>
  <si>
    <t>12.2. Análisis de las fuerzas químicas que estabilizan cada nivel estructural de las proteínas.</t>
  </si>
  <si>
    <t>E1 · Recuerda las fuerzas intermoleculares y los enlaces de amida estudiados en la unidad de compuestos del carbono.</t>
  </si>
  <si>
    <t>D1 · Pregunta guía: «¿Qué mantiene plegada una cadena de cientos de aminoácidos en una forma tridimensional precisa?».</t>
  </si>
  <si>
    <t>E4 · Explora en el visor del Protein Data Bank la hemoglobina y localiza hélices α, puentes de hidrógeno y subunidades.</t>
  </si>
  <si>
    <t>D4 · Clasifica las interacciones señaladas en un modelo de proteína según el nivel estructural que estabilizan y concluye cuáles son covalentes.</t>
  </si>
  <si>
    <t>E3 · Predice qué interacción se rompe si se sustituye un aminoácido con carga por uno apolar en una región interna y lo justifica.</t>
  </si>
  <si>
    <t>Colaboración (Explicar)
Construye con su equipo un modelo físico de proteína con alambre y cuentas que represente los cuatro niveles estructurales.</t>
  </si>
  <si>
    <t>Conocer: identificar los niveles estructurales de las proteínas. Aplicar: relacionar cada nivel con la interacción que lo estabiliza</t>
  </si>
  <si>
    <t>Modelo físico de una proteína con rótulos de las interacciones que estabilizan cada nivel estructural</t>
  </si>
  <si>
    <t>12.2. Relaciona cada nivel estructural de una proteína con el enlace o la interacción química que lo estabiliza: peptídico, puentes de hidrógeno, iónico, disulfuro o hidrofóbico.</t>
  </si>
  <si>
    <r>
      <rPr>
        <rFont val="Arial"/>
        <color theme="1"/>
        <sz val="9.0"/>
      </rPr>
      <t>5.1 Identificación y resolución de problemas técnicos – Básico</t>
    </r>
    <r>
      <rPr>
        <rFont val="Arial"/>
        <color rgb="FF7030A0"/>
        <sz val="9.0"/>
      </rPr>
      <t xml:space="preserve">
Con la IA (DigComp 3.0, nivel real): CS1.2.13 – Intermedio: valora qué tan confiable es una fuente, teniendo en cuenta el papel de la IA.</t>
    </r>
  </si>
  <si>
    <r>
      <rPr>
        <rFont val="Arial"/>
        <color theme="1"/>
        <sz val="9.0"/>
      </rPr>
      <t>Resolver problemas de visualización del visor del Protein Data Bank, como la carga lenta o el cambio de representación, siguiendo una guía.</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Haz tú un cuadro de los cuatro niveles estructurales de una proteína con el enlace o la fuerza que estabiliza cada uno (enlace peptídico, puentes de hidrógeno, puentes disulfuro, interacciones iónicas e hidrofóbicas). Construye un dipéptido en el simulador de moléculas. Luego pregunta al cuaderno de la unidad en NotebookLM: «¿Qué fuerzas mantienen la estructura terciaria y cuáles la cuaternaria?» y revisa tu cuadro.
Evidencia: Tu cuadro «Nivel · Fuerza principal · Ejemplo», la captura del dipéptido y la respuesta rotulada «Respuesta de IA». Cierra con «Mi cuadro coincidió en… / corregí…» y una línea en el registro de uso de IA.
Refuerza con: PhET «Construye una molécula» (https://phet.colorado.edu/sims/html/build-a-molecule/latest/build-a-molecule_es.html)
→ PISA E3 · TIMSS Aplicar</t>
    </r>
  </si>
  <si>
    <t>Uso ético de la información
Cita el identificador PDB de la proteína estudiada y reconoce a los autores de la estructura depositada.</t>
  </si>
  <si>
    <t>Nuevo (planeador)
Planeador Química II · 11.2</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</si>
</sst>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2.0"/>
      <color rgb="FF1F4E79"/>
      <name val="Arial"/>
    </font>
    <font>
      <i/>
      <sz val="10.0"/>
      <color theme="1"/>
      <name val="Arial"/>
    </font>
    <font>
      <b/>
      <sz val="10.0"/>
      <color rgb="FFFFFFFF"/>
      <name val="Arial"/>
    </font>
    <font>
      <b/>
      <sz val="10.0"/>
      <color theme="1"/>
      <name val="Arial"/>
    </font>
    <font>
      <sz val="10.0"/>
      <color theme="1"/>
      <name val="Arial"/>
    </font>
    <font/>
    <font>
      <i/>
      <sz val="9.0"/>
      <color theme="1"/>
      <name val="Arial"/>
    </font>
    <font>
      <b/>
      <sz val="9.0"/>
      <color rgb="FFFFFFFF"/>
      <name val="Arial"/>
    </font>
    <font>
      <b/>
      <sz val="9.0"/>
      <color theme="1"/>
      <name val="Arial"/>
    </font>
    <font>
      <sz val="9.0"/>
      <color theme="1"/>
      <name val="Arial"/>
    </font>
    <font>
      <color theme="1"/>
      <name val="Calibri"/>
      <scheme val="minor"/>
    </font>
    <font>
      <sz val="9.0"/>
      <color rgb="FF000000"/>
      <name val="Arial"/>
    </font>
    <font>
      <b/>
      <sz val="12.0"/>
      <color rgb="FF7030A0"/>
      <name val="Arial"/>
    </font>
    <font>
      <sz val="11.0"/>
      <color theme="1"/>
      <name val="Calibri"/>
    </font>
    <font>
      <sz val="9.0"/>
      <color rgb="FF7030A0"/>
      <name val="Arial"/>
    </font>
    <font>
      <b/>
      <sz val="9.0"/>
      <color rgb="FF7030A0"/>
      <name val="Arial"/>
    </font>
    <font>
      <u/>
      <sz val="9.0"/>
      <color rgb="FF7030A0"/>
      <name val="Arial"/>
    </font>
  </fonts>
  <fills count="15">
    <fill>
      <patternFill patternType="none"/>
    </fill>
    <fill>
      <patternFill patternType="lightGray"/>
    </fill>
    <fill>
      <patternFill patternType="solid">
        <fgColor rgb="FF1F4E79"/>
        <bgColor rgb="FF1F4E79"/>
      </patternFill>
    </fill>
    <fill>
      <patternFill patternType="solid">
        <fgColor rgb="FFF1EDFA"/>
        <bgColor rgb="FFF1EDFA"/>
      </patternFill>
    </fill>
    <fill>
      <patternFill patternType="solid">
        <fgColor rgb="FFA9D08E"/>
        <bgColor rgb="FFA9D08E"/>
      </patternFill>
    </fill>
    <fill>
      <patternFill patternType="solid">
        <fgColor rgb="FF5B4A9E"/>
        <bgColor rgb="FF5B4A9E"/>
      </patternFill>
    </fill>
    <fill>
      <patternFill patternType="solid">
        <fgColor rgb="FFB7791F"/>
        <bgColor rgb="FFB7791F"/>
      </patternFill>
    </fill>
    <fill>
      <patternFill patternType="solid">
        <fgColor rgb="FFD9E1F2"/>
        <bgColor rgb="FFD9E1F2"/>
      </patternFill>
    </fill>
    <fill>
      <patternFill patternType="solid">
        <fgColor rgb="FF2C7A7B"/>
        <bgColor rgb="FF2C7A7B"/>
      </patternFill>
    </fill>
    <fill>
      <patternFill patternType="solid">
        <fgColor rgb="FFFFFFFF"/>
        <bgColor rgb="FFFFFFFF"/>
      </patternFill>
    </fill>
    <fill>
      <patternFill patternType="solid">
        <fgColor rgb="FFFFE699"/>
        <bgColor rgb="FFFFE699"/>
      </patternFill>
    </fill>
    <fill>
      <patternFill patternType="solid">
        <fgColor rgb="FFFFF2CC"/>
        <bgColor rgb="FFFFF2CC"/>
      </patternFill>
    </fill>
    <fill>
      <patternFill patternType="solid">
        <fgColor rgb="FFE2EFDA"/>
        <bgColor rgb="FFE2EFDA"/>
      </patternFill>
    </fill>
    <fill>
      <patternFill patternType="solid">
        <fgColor rgb="FFDDEBF7"/>
        <bgColor rgb="FFDDEBF7"/>
      </patternFill>
    </fill>
    <fill>
      <patternFill patternType="solid">
        <fgColor rgb="FFE2F0EF"/>
        <bgColor rgb="FFE2F0EF"/>
      </patternFill>
    </fill>
  </fills>
  <borders count="10">
    <border/>
    <border>
      <left style="thin">
        <color rgb="FFA6A6A6"/>
      </left>
      <right style="thin">
        <color rgb="FFA6A6A6"/>
      </right>
      <top style="thin">
        <color rgb="FFA6A6A6"/>
      </top>
      <bottom style="thin">
        <color rgb="FFA6A6A6"/>
      </bottom>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border>
    <border>
      <left/>
      <right style="thin">
        <color rgb="FFA6A6A6"/>
      </right>
      <top style="thin">
        <color rgb="FFA6A6A6"/>
      </top>
      <bottom style="thin">
        <color rgb="FFA6A6A6"/>
      </bottom>
    </border>
    <border>
      <left/>
      <right/>
      <top/>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1" fillId="2" fontId="3" numFmtId="0" xfId="0" applyAlignment="1" applyBorder="1" applyFill="1" applyFont="1">
      <alignment horizontal="center" shrinkToFit="0" vertical="center" wrapText="1"/>
    </xf>
    <xf borderId="1" fillId="3" fontId="4" numFmtId="0" xfId="0" applyAlignment="1" applyBorder="1" applyFill="1" applyFont="1">
      <alignment shrinkToFit="0" vertical="top" wrapText="1"/>
    </xf>
    <xf borderId="1" fillId="0" fontId="5" numFmtId="0" xfId="0" applyAlignment="1" applyBorder="1" applyFont="1">
      <alignment shrinkToFit="0" vertical="top" wrapText="1"/>
    </xf>
    <xf borderId="1" fillId="4" fontId="5" numFmtId="0" xfId="0" applyAlignment="1" applyBorder="1" applyFill="1" applyFont="1">
      <alignment shrinkToFit="0" vertical="top" wrapText="1"/>
    </xf>
    <xf borderId="1" fillId="0" fontId="5" numFmtId="0" xfId="0" applyAlignment="1" applyBorder="1" applyFont="1">
      <alignment horizontal="center" shrinkToFit="0" vertical="top" wrapText="1"/>
    </xf>
    <xf borderId="2" fillId="2" fontId="3" numFmtId="0" xfId="0" applyAlignment="1" applyBorder="1" applyFill="1" applyFont="1">
      <alignment horizontal="center" shrinkToFit="0" vertical="center" wrapText="1"/>
    </xf>
    <xf borderId="1" fillId="0" fontId="5" numFmtId="0" xfId="0" applyAlignment="1" applyBorder="1" applyFont="1">
      <alignment horizontal="center" readingOrder="0" shrinkToFit="0" vertical="top" wrapText="1"/>
    </xf>
    <xf borderId="2" fillId="2" fontId="3" numFmtId="0" xfId="0" applyAlignment="1" applyBorder="1" applyFill="1" applyFont="1">
      <alignment horizontal="center" readingOrder="0" shrinkToFit="0" vertical="center" wrapText="1"/>
    </xf>
    <xf borderId="1" fillId="0" fontId="4" numFmtId="0" xfId="0" applyAlignment="1" applyBorder="1" applyFont="1">
      <alignment shrinkToFit="0" vertical="top" wrapText="1"/>
    </xf>
    <xf borderId="3" fillId="5" fontId="3"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3" fillId="0" fontId="5" numFmtId="0" xfId="0" applyAlignment="1" applyBorder="1" applyFont="1">
      <alignment shrinkToFit="0" vertical="top" wrapText="1"/>
    </xf>
    <xf borderId="2" fillId="6" fontId="3" numFmtId="0" xfId="0" applyAlignment="1" applyBorder="1" applyFill="1" applyFont="1">
      <alignment horizontal="center" shrinkToFit="0" vertical="center" wrapText="1"/>
    </xf>
    <xf borderId="0" fillId="0" fontId="7" numFmtId="0" xfId="0" applyAlignment="1" applyFont="1">
      <alignment shrinkToFit="0" vertical="top" wrapText="1"/>
    </xf>
    <xf borderId="1" fillId="7" fontId="4" numFmtId="0" xfId="0" applyAlignment="1" applyBorder="1" applyFill="1" applyFont="1">
      <alignment shrinkToFit="0" vertical="top" wrapText="1"/>
    </xf>
    <xf borderId="2" fillId="8" fontId="3" numFmtId="0" xfId="0" applyAlignment="1" applyBorder="1" applyFill="1" applyFont="1">
      <alignment horizontal="center" shrinkToFit="0" vertical="center" wrapText="1"/>
    </xf>
    <xf borderId="1" fillId="0" fontId="4" numFmtId="0" xfId="0" applyAlignment="1" applyBorder="1" applyFont="1">
      <alignment readingOrder="0" shrinkToFit="0" vertical="top" wrapText="1"/>
    </xf>
    <xf borderId="6" fillId="0" fontId="6" numFmtId="0" xfId="0" applyBorder="1" applyFont="1"/>
    <xf borderId="1" fillId="5" fontId="8" numFmtId="0" xfId="0" applyAlignment="1" applyBorder="1" applyFill="1" applyFont="1">
      <alignment horizontal="center" shrinkToFit="0" vertical="center" wrapText="1"/>
    </xf>
    <xf borderId="2" fillId="4" fontId="9" numFmtId="0" xfId="0" applyAlignment="1" applyBorder="1" applyFill="1" applyFont="1">
      <alignment horizontal="center" shrinkToFit="0" textRotation="90" vertical="center" wrapText="1"/>
    </xf>
    <xf borderId="1" fillId="0" fontId="4" numFmtId="0" xfId="0" applyAlignment="1" applyBorder="1" applyFont="1">
      <alignment horizontal="center" shrinkToFit="0" vertical="top" wrapText="1"/>
    </xf>
    <xf borderId="1" fillId="9" fontId="10" numFmtId="0" xfId="0" applyAlignment="1" applyBorder="1" applyFill="1" applyFont="1">
      <alignment shrinkToFit="0" vertical="top" wrapText="1"/>
    </xf>
    <xf borderId="1" fillId="9" fontId="10" numFmtId="0" xfId="0" applyAlignment="1" applyBorder="1" applyFill="1" applyFont="1">
      <alignment horizontal="center" readingOrder="0" shrinkToFit="0" vertical="top" wrapText="1"/>
    </xf>
    <xf borderId="1" fillId="10" fontId="5" numFmtId="0" xfId="0" applyAlignment="1" applyBorder="1" applyFill="1" applyFont="1">
      <alignment shrinkToFit="0" vertical="top" wrapText="1"/>
    </xf>
    <xf borderId="2" fillId="9" fontId="10" numFmtId="0" xfId="0" applyAlignment="1" applyBorder="1" applyFill="1" applyFont="1">
      <alignment shrinkToFit="0" vertical="top" wrapText="1"/>
    </xf>
    <xf borderId="1" fillId="0" fontId="10" numFmtId="0" xfId="0" applyAlignment="1" applyBorder="1" applyFont="1">
      <alignment shrinkToFit="0" vertical="top" wrapText="1"/>
    </xf>
    <xf borderId="1" fillId="3" fontId="10" numFmtId="0" xfId="0" applyAlignment="1" applyBorder="1" applyFill="1" applyFont="1">
      <alignment shrinkToFit="0" vertical="top" wrapText="1"/>
    </xf>
    <xf borderId="1" fillId="11" fontId="10" numFmtId="0" xfId="0" applyAlignment="1" applyBorder="1" applyFill="1" applyFont="1">
      <alignment shrinkToFit="0" vertical="top" wrapText="1"/>
    </xf>
    <xf borderId="2" fillId="12" fontId="10" numFmtId="0" xfId="0" applyAlignment="1" applyBorder="1" applyFill="1" applyFont="1">
      <alignment shrinkToFit="0" vertical="top" wrapText="1"/>
    </xf>
    <xf borderId="1" fillId="12" fontId="10" numFmtId="0" xfId="0" applyAlignment="1" applyBorder="1" applyFill="1" applyFont="1">
      <alignment shrinkToFit="0" vertical="top" wrapText="1"/>
    </xf>
    <xf borderId="2" fillId="10" fontId="9" numFmtId="0" xfId="0" applyAlignment="1" applyBorder="1" applyFill="1" applyFont="1">
      <alignment horizontal="center" shrinkToFit="0" textRotation="90" vertical="center" wrapText="1"/>
    </xf>
    <xf borderId="1" fillId="0" fontId="10" numFmtId="0" xfId="0" applyAlignment="1" applyBorder="1" applyFont="1">
      <alignment horizontal="center" readingOrder="0" shrinkToFit="0" vertical="top" wrapText="1"/>
    </xf>
    <xf borderId="1" fillId="13" fontId="10" numFmtId="0" xfId="0" applyAlignment="1" applyBorder="1" applyFill="1" applyFont="1">
      <alignment shrinkToFit="0" vertical="top" wrapText="1"/>
    </xf>
    <xf borderId="1" fillId="14" fontId="10" numFmtId="0" xfId="0" applyAlignment="1" applyBorder="1" applyFill="1" applyFont="1">
      <alignment shrinkToFit="0" vertical="top" wrapText="1"/>
    </xf>
    <xf borderId="2" fillId="0" fontId="10" numFmtId="0" xfId="0" applyAlignment="1" applyBorder="1" applyFont="1">
      <alignment shrinkToFit="0" vertical="top" wrapText="1"/>
    </xf>
    <xf borderId="7" fillId="0" fontId="6" numFmtId="0" xfId="0" applyBorder="1" applyFont="1"/>
    <xf borderId="1" fillId="9" fontId="10" numFmtId="0" xfId="0" applyAlignment="1" applyBorder="1" applyFill="1" applyFont="1">
      <alignment readingOrder="0" shrinkToFit="0" vertical="top" wrapText="1"/>
    </xf>
    <xf borderId="1" fillId="0" fontId="9" numFmtId="0" xfId="0" applyAlignment="1" applyBorder="1" applyFont="1">
      <alignment shrinkToFit="0" vertical="top" wrapText="1"/>
    </xf>
    <xf borderId="0" fillId="0" fontId="11" numFmtId="0" xfId="0" applyAlignment="1" applyFont="1">
      <alignment shrinkToFit="0" wrapText="1"/>
    </xf>
    <xf borderId="5" fillId="9" fontId="12" numFmtId="0" xfId="0" applyAlignment="1" applyBorder="1" applyFill="1" applyFont="1">
      <alignment readingOrder="0" shrinkToFit="0" vertical="top" wrapText="1"/>
    </xf>
    <xf borderId="5" fillId="9" fontId="12" numFmtId="0" xfId="0" applyAlignment="1" applyBorder="1" applyFill="1" applyFont="1">
      <alignment horizontal="center" readingOrder="0" shrinkToFit="0" vertical="top" wrapText="1"/>
    </xf>
    <xf borderId="5" fillId="3" fontId="12" numFmtId="0" xfId="0" applyAlignment="1" applyBorder="1" applyFill="1" applyFont="1">
      <alignment readingOrder="0" shrinkToFit="0" vertical="top" wrapText="1"/>
    </xf>
    <xf borderId="5" fillId="11" fontId="12" numFmtId="0" xfId="0" applyAlignment="1" applyBorder="1" applyFill="1" applyFont="1">
      <alignment readingOrder="0" shrinkToFit="0" vertical="top" wrapText="1"/>
    </xf>
    <xf borderId="5" fillId="13" fontId="12" numFmtId="0" xfId="0" applyAlignment="1" applyBorder="1" applyFill="1" applyFont="1">
      <alignment readingOrder="0" shrinkToFit="0" vertical="top" wrapText="1"/>
    </xf>
    <xf borderId="5" fillId="14" fontId="12" numFmtId="0" xfId="0" applyAlignment="1" applyBorder="1" applyFill="1" applyFont="1">
      <alignment readingOrder="0" shrinkToFit="0" vertical="top" wrapText="1"/>
    </xf>
    <xf borderId="8" fillId="9" fontId="12" numFmtId="0" xfId="0" applyAlignment="1" applyBorder="1" applyFill="1" applyFont="1">
      <alignment shrinkToFit="0" vertical="top" wrapText="1"/>
    </xf>
    <xf borderId="8" fillId="9" fontId="12" numFmtId="0" xfId="0" applyAlignment="1" applyBorder="1" applyFill="1" applyFont="1">
      <alignment horizontal="center" readingOrder="0" shrinkToFit="0" vertical="top" wrapText="1"/>
    </xf>
    <xf borderId="1" fillId="0" fontId="10" numFmtId="0" xfId="0" applyAlignment="1" applyBorder="1" applyFont="1">
      <alignment readingOrder="0" shrinkToFit="0" vertical="top" wrapText="1"/>
    </xf>
    <xf borderId="5" fillId="0" fontId="12" numFmtId="0" xfId="0" applyAlignment="1" applyBorder="1" applyFont="1">
      <alignment shrinkToFit="0" vertical="top" wrapText="1"/>
    </xf>
    <xf borderId="8" fillId="3" fontId="12" numFmtId="0" xfId="0" applyAlignment="1" applyBorder="1" applyFill="1" applyFont="1">
      <alignment shrinkToFit="0" vertical="top" wrapText="1"/>
    </xf>
    <xf borderId="8" fillId="11" fontId="12" numFmtId="0" xfId="0" applyAlignment="1" applyBorder="1" applyFill="1" applyFont="1">
      <alignment shrinkToFit="0" vertical="top" wrapText="1"/>
    </xf>
    <xf borderId="8" fillId="12" fontId="12" numFmtId="0" xfId="0" applyAlignment="1" applyBorder="1" applyFill="1" applyFont="1">
      <alignment shrinkToFit="0" vertical="top" wrapText="1"/>
    </xf>
    <xf borderId="8" fillId="13" fontId="12" numFmtId="0" xfId="0" applyAlignment="1" applyBorder="1" applyFill="1" applyFont="1">
      <alignment shrinkToFit="0" vertical="top" wrapText="1"/>
    </xf>
    <xf borderId="8" fillId="14" fontId="12" numFmtId="0" xfId="0" applyAlignment="1" applyBorder="1" applyFill="1" applyFont="1">
      <alignment shrinkToFit="0" vertical="top" wrapText="1"/>
    </xf>
    <xf borderId="0" fillId="0" fontId="5" numFmtId="0" xfId="0" applyAlignment="1" applyFont="1">
      <alignment shrinkToFit="0" vertical="top" wrapText="1"/>
    </xf>
    <xf borderId="1" fillId="6" fontId="3" numFmtId="0" xfId="0" applyAlignment="1" applyBorder="1" applyFill="1" applyFont="1">
      <alignment horizontal="center" shrinkToFit="0" vertical="center" wrapText="1"/>
    </xf>
    <xf borderId="1" fillId="11" fontId="4" numFmtId="0" xfId="0" applyAlignment="1" applyBorder="1" applyFill="1" applyFont="1">
      <alignment shrinkToFit="0" vertical="top" wrapText="1"/>
    </xf>
    <xf borderId="1" fillId="8" fontId="3" numFmtId="0" xfId="0" applyAlignment="1" applyBorder="1" applyFill="1" applyFont="1">
      <alignment horizontal="center" shrinkToFit="0" vertical="center" wrapText="1"/>
    </xf>
    <xf borderId="1" fillId="14" fontId="4" numFmtId="0" xfId="0" applyAlignment="1" applyBorder="1" applyFill="1" applyFont="1">
      <alignment shrinkToFit="0" vertical="top" wrapText="1"/>
    </xf>
    <xf borderId="1" fillId="13" fontId="4" numFmtId="0" xfId="0" applyAlignment="1" applyBorder="1" applyFill="1" applyFont="1">
      <alignment shrinkToFit="0" vertical="top" wrapText="1"/>
    </xf>
    <xf borderId="1" fillId="13" fontId="5" numFmtId="0" xfId="0" applyAlignment="1" applyBorder="1" applyFill="1" applyFont="1">
      <alignment shrinkToFit="0" vertical="top" wrapText="1"/>
    </xf>
    <xf borderId="0" fillId="0" fontId="13" numFmtId="0" xfId="0" applyFont="1"/>
    <xf borderId="0" fillId="0" fontId="14" numFmtId="0" xfId="0" applyFont="1"/>
    <xf borderId="0" fillId="0" fontId="15" numFmtId="0" xfId="0" applyAlignment="1" applyFont="1">
      <alignment shrinkToFit="0" vertical="top" wrapText="1"/>
    </xf>
    <xf borderId="0" fillId="0" fontId="16" numFmtId="0" xfId="0" applyAlignment="1" applyFont="1">
      <alignment shrinkToFit="0" vertical="top" wrapText="1"/>
    </xf>
    <xf borderId="0" fillId="0" fontId="17" numFmtId="0" xfId="0" applyAlignment="1" applyFont="1">
      <alignment shrinkToFit="0" vertical="top" wrapText="1"/>
    </xf>
    <xf borderId="1" fillId="4" fontId="9" numFmtId="0" xfId="0" applyAlignment="1" applyBorder="1" applyFill="1" applyFont="1">
      <alignment horizontal="center" shrinkToFit="0" textRotation="90" vertical="center" wrapText="1"/>
    </xf>
    <xf borderId="8" fillId="9" fontId="12" numFmtId="0" xfId="0" applyAlignment="1" applyBorder="1" applyFill="1" applyFont="1">
      <alignment vertical="top"/>
    </xf>
    <xf borderId="8" fillId="9" fontId="12" numFmtId="0" xfId="0" applyAlignment="1" applyBorder="1" applyFill="1" applyFont="1">
      <alignment horizontal="center" readingOrder="0" vertical="top"/>
    </xf>
    <xf borderId="0" fillId="0" fontId="11" numFmtId="0" xfId="0" applyAlignment="1" applyFont="1">
      <alignment horizontal="center"/>
    </xf>
    <xf borderId="0" fillId="0" fontId="9" numFmtId="0" xfId="0" applyFont="1"/>
    <xf borderId="9" fillId="10" fontId="14" numFmtId="0" xfId="0" applyBorder="1" applyFill="1" applyFont="1"/>
    <xf borderId="0" fillId="10" fontId="14" numFmtId="0" xfId="0" applyAlignment="1" applyFill="1" applyFont="1">
      <alignment horizontal="center"/>
    </xf>
    <xf borderId="0" fillId="0" fontId="10" numFmtId="0" xfId="0" applyFont="1"/>
    <xf borderId="9" fillId="4" fontId="14" numFmtId="0" xfId="0" applyBorder="1" applyFill="1" applyFont="1"/>
    <xf borderId="0" fillId="4" fontId="14" numFmtId="0" xfId="0" applyAlignment="1" applyFill="1" applyFont="1">
      <alignment horizontal="center"/>
    </xf>
    <xf borderId="9" fillId="12" fontId="14" numFmtId="0" xfId="0" applyBorder="1" applyFill="1" applyFont="1"/>
    <xf borderId="0" fillId="12" fontId="14" numFmtId="0" xfId="0" applyAlignment="1" applyFill="1" applyFont="1">
      <alignment horizontal="center"/>
    </xf>
    <xf borderId="9" fillId="3" fontId="14" numFmtId="0" xfId="0" applyBorder="1" applyFill="1" applyFont="1"/>
    <xf borderId="0" fillId="3" fontId="14" numFmtId="0" xfId="0" applyAlignment="1" applyFill="1" applyFont="1">
      <alignment horizontal="center"/>
    </xf>
    <xf borderId="9" fillId="11" fontId="14" numFmtId="0" xfId="0" applyBorder="1" applyFill="1" applyFont="1"/>
    <xf borderId="0" fillId="11" fontId="14" numFmtId="0" xfId="0" applyAlignment="1" applyFill="1" applyFont="1">
      <alignment horizontal="center"/>
    </xf>
    <xf borderId="9" fillId="13" fontId="14" numFmtId="0" xfId="0" applyBorder="1" applyFill="1" applyFont="1"/>
    <xf borderId="0" fillId="13" fontId="14" numFmtId="0" xfId="0" applyAlignment="1" applyFill="1" applyFont="1">
      <alignment horizontal="center"/>
    </xf>
    <xf borderId="9" fillId="14" fontId="14" numFmtId="0" xfId="0" applyBorder="1" applyFill="1" applyFont="1"/>
    <xf borderId="0" fillId="14" fontId="14" numFmtId="0" xfId="0" applyAlignment="1" applyFill="1" applyFont="1">
      <alignment horizontal="center"/>
    </xf>
    <xf borderId="0" fillId="0" fontId="15"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6.0"/>
    <col customWidth="1" min="2" max="2" width="6.0"/>
    <col customWidth="1" min="3" max="3" width="40.0"/>
    <col customWidth="1" min="4" max="4" width="18.0"/>
    <col customWidth="1" min="5" max="5" width="15.0"/>
    <col customWidth="1" min="6" max="6" width="8.0"/>
    <col customWidth="1" min="7" max="7" width="44.0"/>
    <col customWidth="1" min="8" max="8" width="12.0"/>
    <col customWidth="1" min="9" max="9" width="60.0"/>
    <col customWidth="1" min="10" max="26" width="8.71"/>
  </cols>
  <sheetData>
    <row r="1">
      <c r="A1" s="1" t="s">
        <v>0</v>
      </c>
    </row>
    <row r="2" ht="31.5" customHeight="1">
      <c r="A2" s="2" t="s">
        <v>2</v>
      </c>
    </row>
    <row r="4" ht="31.5" customHeight="1">
      <c r="A4" s="3" t="s">
        <v>5</v>
      </c>
      <c r="B4" s="3" t="s">
        <v>8</v>
      </c>
      <c r="C4" s="3" t="s">
        <v>9</v>
      </c>
      <c r="D4" s="3" t="s">
        <v>10</v>
      </c>
      <c r="E4" s="3" t="s">
        <v>12</v>
      </c>
      <c r="F4" s="3" t="s">
        <v>13</v>
      </c>
      <c r="G4" s="3" t="s">
        <v>14</v>
      </c>
      <c r="H4" s="3" t="s">
        <v>15</v>
      </c>
      <c r="I4" s="3" t="s">
        <v>17</v>
      </c>
    </row>
    <row r="5" ht="30.0" customHeight="1">
      <c r="A5" s="6" t="s">
        <v>19</v>
      </c>
      <c r="B5" s="7">
        <v>1.0</v>
      </c>
      <c r="C5" s="5" t="s">
        <v>35</v>
      </c>
      <c r="D5" s="5" t="s">
        <v>39</v>
      </c>
      <c r="E5" s="5" t="s">
        <v>41</v>
      </c>
      <c r="F5" s="9">
        <v>9.0</v>
      </c>
      <c r="G5" s="5" t="s">
        <v>53</v>
      </c>
      <c r="H5" s="7"/>
      <c r="I5" s="5" t="s">
        <v>56</v>
      </c>
    </row>
    <row r="6" ht="30.0" customHeight="1">
      <c r="A6" s="6" t="s">
        <v>19</v>
      </c>
      <c r="B6" s="7">
        <v>2.0</v>
      </c>
      <c r="C6" s="5" t="s">
        <v>60</v>
      </c>
      <c r="D6" s="5" t="s">
        <v>39</v>
      </c>
      <c r="E6" s="5" t="s">
        <v>63</v>
      </c>
      <c r="F6" s="9">
        <v>2.0</v>
      </c>
      <c r="G6" s="5" t="s">
        <v>53</v>
      </c>
      <c r="H6" s="7"/>
      <c r="I6" s="5" t="s">
        <v>67</v>
      </c>
    </row>
    <row r="7" ht="30.0" customHeight="1">
      <c r="A7" s="6" t="s">
        <v>19</v>
      </c>
      <c r="B7" s="7">
        <v>3.0</v>
      </c>
      <c r="C7" s="5" t="s">
        <v>72</v>
      </c>
      <c r="D7" s="5" t="s">
        <v>39</v>
      </c>
      <c r="E7" s="5" t="s">
        <v>74</v>
      </c>
      <c r="F7" s="9">
        <v>9.0</v>
      </c>
      <c r="G7" s="5" t="s">
        <v>53</v>
      </c>
      <c r="H7" s="7"/>
      <c r="I7" s="5"/>
    </row>
    <row r="8" ht="30.0" customHeight="1">
      <c r="A8" s="6" t="s">
        <v>19</v>
      </c>
      <c r="B8" s="7">
        <v>4.0</v>
      </c>
      <c r="C8" s="5" t="s">
        <v>79</v>
      </c>
      <c r="D8" s="5" t="s">
        <v>39</v>
      </c>
      <c r="E8" s="5" t="s">
        <v>74</v>
      </c>
      <c r="F8" s="9">
        <v>7.0</v>
      </c>
      <c r="G8" s="5" t="s">
        <v>53</v>
      </c>
      <c r="H8" s="7"/>
      <c r="I8" s="5"/>
    </row>
    <row r="9" ht="30.0" customHeight="1">
      <c r="A9" s="6" t="s">
        <v>19</v>
      </c>
      <c r="B9" s="7">
        <v>5.0</v>
      </c>
      <c r="C9" s="5" t="s">
        <v>88</v>
      </c>
      <c r="D9" s="5" t="s">
        <v>39</v>
      </c>
      <c r="E9" s="5" t="s">
        <v>63</v>
      </c>
      <c r="F9" s="9">
        <v>9.0</v>
      </c>
      <c r="G9" s="5" t="s">
        <v>53</v>
      </c>
      <c r="H9" s="7"/>
      <c r="I9" s="5"/>
    </row>
    <row r="10" ht="30.0" customHeight="1">
      <c r="A10" s="6" t="s">
        <v>19</v>
      </c>
      <c r="B10" s="7">
        <v>6.0</v>
      </c>
      <c r="C10" s="5" t="s">
        <v>92</v>
      </c>
      <c r="D10" s="5" t="s">
        <v>39</v>
      </c>
      <c r="E10" s="5" t="s">
        <v>41</v>
      </c>
      <c r="F10" s="9">
        <v>4.0</v>
      </c>
      <c r="G10" s="5" t="s">
        <v>53</v>
      </c>
      <c r="H10" s="7"/>
      <c r="I10" s="5" t="s">
        <v>96</v>
      </c>
    </row>
    <row r="11" ht="30.0" customHeight="1">
      <c r="A11" s="6" t="s">
        <v>19</v>
      </c>
      <c r="B11" s="7">
        <v>7.0</v>
      </c>
      <c r="C11" s="5" t="s">
        <v>99</v>
      </c>
      <c r="D11" s="5" t="s">
        <v>39</v>
      </c>
      <c r="E11" s="5" t="s">
        <v>74</v>
      </c>
      <c r="F11" s="9">
        <v>5.0</v>
      </c>
      <c r="G11" s="5" t="s">
        <v>53</v>
      </c>
      <c r="H11" s="7"/>
      <c r="I11" s="5" t="s">
        <v>100</v>
      </c>
    </row>
    <row r="12" ht="30.0" customHeight="1">
      <c r="A12" s="6" t="s">
        <v>19</v>
      </c>
      <c r="B12" s="7">
        <v>8.0</v>
      </c>
      <c r="C12" s="5" t="s">
        <v>102</v>
      </c>
      <c r="D12" s="5" t="s">
        <v>39</v>
      </c>
      <c r="E12" s="5" t="s">
        <v>41</v>
      </c>
      <c r="F12" s="9">
        <v>6.0</v>
      </c>
      <c r="G12" s="5" t="s">
        <v>53</v>
      </c>
      <c r="H12" s="7"/>
      <c r="I12" s="5" t="s">
        <v>104</v>
      </c>
    </row>
    <row r="13" ht="30.0" customHeight="1">
      <c r="A13" s="6" t="s">
        <v>19</v>
      </c>
      <c r="B13" s="7">
        <v>9.0</v>
      </c>
      <c r="C13" s="5" t="s">
        <v>107</v>
      </c>
      <c r="D13" s="5" t="s">
        <v>39</v>
      </c>
      <c r="E13" s="5" t="s">
        <v>63</v>
      </c>
      <c r="F13" s="7">
        <v>4.0</v>
      </c>
      <c r="G13" s="5" t="s">
        <v>109</v>
      </c>
      <c r="H13" s="7"/>
      <c r="I13" s="5" t="s">
        <v>111</v>
      </c>
    </row>
    <row r="14" ht="30.0" customHeight="1">
      <c r="A14" s="6" t="s">
        <v>19</v>
      </c>
      <c r="B14" s="7">
        <v>10.0</v>
      </c>
      <c r="C14" s="5" t="s">
        <v>114</v>
      </c>
      <c r="D14" s="5" t="s">
        <v>39</v>
      </c>
      <c r="E14" s="5" t="s">
        <v>74</v>
      </c>
      <c r="F14" s="9">
        <v>3.0</v>
      </c>
      <c r="G14" s="5" t="s">
        <v>53</v>
      </c>
      <c r="H14" s="7"/>
      <c r="I14" s="5"/>
    </row>
    <row r="15" ht="30.0" customHeight="1">
      <c r="A15" s="6" t="s">
        <v>19</v>
      </c>
      <c r="B15" s="7">
        <v>11.0</v>
      </c>
      <c r="C15" s="5" t="s">
        <v>120</v>
      </c>
      <c r="D15" s="5" t="s">
        <v>39</v>
      </c>
      <c r="E15" s="5" t="s">
        <v>122</v>
      </c>
      <c r="F15" s="9">
        <v>1.0</v>
      </c>
      <c r="G15" s="5" t="s">
        <v>53</v>
      </c>
      <c r="H15" s="7"/>
      <c r="I15" s="5" t="s">
        <v>124</v>
      </c>
    </row>
    <row r="16" ht="30.0" customHeight="1">
      <c r="A16" s="6" t="s">
        <v>19</v>
      </c>
      <c r="B16" s="7">
        <v>12.0</v>
      </c>
      <c r="C16" s="5" t="s">
        <v>127</v>
      </c>
      <c r="D16" s="5" t="s">
        <v>39</v>
      </c>
      <c r="E16" s="5" t="s">
        <v>63</v>
      </c>
      <c r="F16" s="9">
        <v>5.0</v>
      </c>
      <c r="G16" s="5" t="s">
        <v>53</v>
      </c>
      <c r="H16" s="7"/>
      <c r="I16" s="5" t="s">
        <v>131</v>
      </c>
    </row>
    <row r="17">
      <c r="A17" s="18" t="s">
        <v>132</v>
      </c>
      <c r="B17" s="11"/>
      <c r="C17" s="20" t="s">
        <v>135</v>
      </c>
      <c r="D17" s="11"/>
      <c r="E17" s="11"/>
      <c r="F17" s="24">
        <f>SUM(F5:F16)</f>
        <v>64</v>
      </c>
      <c r="G17" s="11"/>
      <c r="H17" s="11"/>
      <c r="I17" s="11"/>
    </row>
    <row r="19" ht="30.0" customHeight="1">
      <c r="A19" s="27" t="s">
        <v>146</v>
      </c>
      <c r="B19" s="7">
        <v>1.0</v>
      </c>
      <c r="C19" s="5" t="s">
        <v>150</v>
      </c>
      <c r="D19" s="5" t="s">
        <v>151</v>
      </c>
      <c r="E19" s="5" t="s">
        <v>153</v>
      </c>
      <c r="F19" s="9">
        <v>5.0</v>
      </c>
      <c r="G19" s="5" t="s">
        <v>154</v>
      </c>
      <c r="H19" s="7"/>
      <c r="I19" s="5" t="s">
        <v>155</v>
      </c>
    </row>
    <row r="20" ht="30.0" customHeight="1">
      <c r="A20" s="27" t="s">
        <v>146</v>
      </c>
      <c r="B20" s="7">
        <v>2.0</v>
      </c>
      <c r="C20" s="5" t="s">
        <v>156</v>
      </c>
      <c r="D20" s="5" t="s">
        <v>151</v>
      </c>
      <c r="E20" s="5" t="s">
        <v>74</v>
      </c>
      <c r="F20" s="7">
        <v>12.0</v>
      </c>
      <c r="G20" s="5" t="s">
        <v>158</v>
      </c>
      <c r="H20" s="7"/>
      <c r="I20" s="5" t="s">
        <v>159</v>
      </c>
    </row>
    <row r="21" ht="30.0" customHeight="1">
      <c r="A21" s="27" t="s">
        <v>146</v>
      </c>
      <c r="B21" s="7">
        <v>3.0</v>
      </c>
      <c r="C21" s="5" t="s">
        <v>163</v>
      </c>
      <c r="D21" s="5" t="s">
        <v>151</v>
      </c>
      <c r="E21" s="5" t="s">
        <v>74</v>
      </c>
      <c r="F21" s="9">
        <v>9.0</v>
      </c>
      <c r="G21" s="5" t="s">
        <v>166</v>
      </c>
      <c r="H21" s="7"/>
      <c r="I21" s="5" t="s">
        <v>167</v>
      </c>
    </row>
    <row r="22" ht="30.0" customHeight="1">
      <c r="A22" s="6" t="s">
        <v>146</v>
      </c>
      <c r="B22" s="7">
        <v>4.0</v>
      </c>
      <c r="C22" s="5" t="s">
        <v>169</v>
      </c>
      <c r="D22" s="5" t="s">
        <v>39</v>
      </c>
      <c r="E22" s="5" t="s">
        <v>63</v>
      </c>
      <c r="F22" s="9">
        <v>6.0</v>
      </c>
      <c r="G22" s="5" t="s">
        <v>172</v>
      </c>
      <c r="H22" s="7"/>
      <c r="I22" s="5" t="s">
        <v>174</v>
      </c>
    </row>
    <row r="23" ht="30.0" customHeight="1">
      <c r="A23" s="6" t="s">
        <v>146</v>
      </c>
      <c r="B23" s="7">
        <v>5.0</v>
      </c>
      <c r="C23" s="5" t="s">
        <v>175</v>
      </c>
      <c r="D23" s="5" t="s">
        <v>39</v>
      </c>
      <c r="E23" s="5" t="s">
        <v>63</v>
      </c>
      <c r="F23" s="9">
        <v>4.0</v>
      </c>
      <c r="G23" s="5" t="s">
        <v>172</v>
      </c>
      <c r="H23" s="7"/>
      <c r="I23" s="5" t="s">
        <v>176</v>
      </c>
    </row>
    <row r="24" ht="30.0" customHeight="1">
      <c r="A24" s="27" t="s">
        <v>146</v>
      </c>
      <c r="B24" s="7">
        <v>6.0</v>
      </c>
      <c r="C24" s="5" t="s">
        <v>178</v>
      </c>
      <c r="D24" s="5" t="s">
        <v>179</v>
      </c>
      <c r="E24" s="5" t="s">
        <v>122</v>
      </c>
      <c r="F24" s="9">
        <v>7.0</v>
      </c>
      <c r="G24" s="5" t="s">
        <v>181</v>
      </c>
      <c r="H24" s="7"/>
      <c r="I24" s="5" t="s">
        <v>182</v>
      </c>
    </row>
    <row r="25" ht="30.0" customHeight="1">
      <c r="A25" s="6" t="s">
        <v>146</v>
      </c>
      <c r="B25" s="7">
        <v>7.0</v>
      </c>
      <c r="C25" s="5" t="s">
        <v>184</v>
      </c>
      <c r="D25" s="5" t="s">
        <v>185</v>
      </c>
      <c r="E25" s="5" t="s">
        <v>153</v>
      </c>
      <c r="F25" s="9">
        <v>4.0</v>
      </c>
      <c r="G25" s="5" t="s">
        <v>187</v>
      </c>
      <c r="H25" s="7"/>
      <c r="I25" s="5" t="s">
        <v>188</v>
      </c>
    </row>
    <row r="26" ht="30.0" customHeight="1">
      <c r="A26" s="6" t="s">
        <v>146</v>
      </c>
      <c r="B26" s="7">
        <v>8.0</v>
      </c>
      <c r="C26" s="5" t="s">
        <v>189</v>
      </c>
      <c r="D26" s="5" t="s">
        <v>39</v>
      </c>
      <c r="E26" s="5" t="s">
        <v>122</v>
      </c>
      <c r="F26" s="9">
        <v>3.0</v>
      </c>
      <c r="G26" s="5" t="s">
        <v>191</v>
      </c>
      <c r="H26" s="7"/>
      <c r="I26" s="5" t="s">
        <v>192</v>
      </c>
    </row>
    <row r="27" ht="30.0" customHeight="1">
      <c r="A27" s="6" t="s">
        <v>146</v>
      </c>
      <c r="B27" s="7">
        <v>9.0</v>
      </c>
      <c r="C27" s="5" t="s">
        <v>195</v>
      </c>
      <c r="D27" s="5" t="s">
        <v>39</v>
      </c>
      <c r="E27" s="5" t="s">
        <v>63</v>
      </c>
      <c r="F27" s="9">
        <v>6.0</v>
      </c>
      <c r="G27" s="5" t="s">
        <v>172</v>
      </c>
      <c r="H27" s="7"/>
      <c r="I27" s="5" t="s">
        <v>199</v>
      </c>
    </row>
    <row r="28" ht="30.0" customHeight="1">
      <c r="A28" s="6" t="s">
        <v>146</v>
      </c>
      <c r="B28" s="7">
        <v>10.0</v>
      </c>
      <c r="C28" s="5" t="s">
        <v>200</v>
      </c>
      <c r="D28" s="5" t="s">
        <v>39</v>
      </c>
      <c r="E28" s="5" t="s">
        <v>153</v>
      </c>
      <c r="F28" s="9">
        <v>4.0</v>
      </c>
      <c r="G28" s="5" t="s">
        <v>202</v>
      </c>
      <c r="H28" s="7"/>
      <c r="I28" s="5" t="s">
        <v>203</v>
      </c>
    </row>
    <row r="29" ht="30.0" customHeight="1">
      <c r="A29" s="6" t="s">
        <v>146</v>
      </c>
      <c r="B29" s="7">
        <v>11.0</v>
      </c>
      <c r="C29" s="5" t="s">
        <v>204</v>
      </c>
      <c r="D29" s="5" t="s">
        <v>39</v>
      </c>
      <c r="E29" s="5" t="s">
        <v>74</v>
      </c>
      <c r="F29" s="9">
        <v>2.0</v>
      </c>
      <c r="G29" s="5" t="s">
        <v>172</v>
      </c>
      <c r="H29" s="7"/>
      <c r="I29" s="5" t="s">
        <v>207</v>
      </c>
    </row>
    <row r="30" ht="30.0" customHeight="1">
      <c r="A30" s="6" t="s">
        <v>146</v>
      </c>
      <c r="B30" s="7">
        <v>12.0</v>
      </c>
      <c r="C30" s="5" t="s">
        <v>209</v>
      </c>
      <c r="D30" s="5" t="s">
        <v>39</v>
      </c>
      <c r="E30" s="5" t="s">
        <v>74</v>
      </c>
      <c r="F30" s="9">
        <v>2.0</v>
      </c>
      <c r="G30" s="5" t="s">
        <v>172</v>
      </c>
      <c r="H30" s="7"/>
      <c r="I30" s="5" t="s">
        <v>212</v>
      </c>
    </row>
    <row r="31" ht="15.75" customHeight="1">
      <c r="A31" s="18" t="s">
        <v>213</v>
      </c>
      <c r="B31" s="11"/>
      <c r="C31" s="11" t="s">
        <v>135</v>
      </c>
      <c r="D31" s="11"/>
      <c r="E31" s="11"/>
      <c r="F31" s="11">
        <f>SUM(F19:F30)</f>
        <v>64</v>
      </c>
      <c r="G31" s="11"/>
      <c r="H31" s="11"/>
      <c r="I31" s="11"/>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2:I2"/>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12.0"/>
    <col customWidth="1" min="5" max="5" width="22.0"/>
    <col customWidth="1" min="6" max="6" width="34.0"/>
    <col customWidth="1" min="7" max="7" width="26.0"/>
    <col customWidth="1" min="8" max="8" width="24.0"/>
    <col customWidth="1" min="9" max="14" width="30.0"/>
    <col customWidth="1" min="15" max="15" width="32.0"/>
    <col customWidth="1" min="16" max="16" width="26.0"/>
    <col customWidth="1" min="17" max="17" width="36.0"/>
    <col customWidth="1" min="18" max="19" width="24.43"/>
    <col customWidth="1" min="20" max="21" width="28.0"/>
    <col customWidth="1" min="22" max="22" width="42.0"/>
    <col customWidth="1" min="23" max="24" width="34.0"/>
    <col customWidth="1" min="25" max="25" width="22.0"/>
    <col customWidth="1" min="26" max="27" width="8.71"/>
  </cols>
  <sheetData>
    <row r="1" ht="30.0" customHeight="1">
      <c r="A1" s="8"/>
      <c r="B1" s="8" t="s">
        <v>9</v>
      </c>
      <c r="C1" s="8" t="s">
        <v>51</v>
      </c>
      <c r="D1" s="10" t="s">
        <v>61</v>
      </c>
      <c r="E1" s="8" t="s">
        <v>71</v>
      </c>
      <c r="F1" s="8" t="s">
        <v>76</v>
      </c>
      <c r="G1" s="8" t="s">
        <v>82</v>
      </c>
      <c r="H1" s="8" t="s">
        <v>86</v>
      </c>
      <c r="I1" s="8" t="s">
        <v>3</v>
      </c>
      <c r="J1" s="12" t="s">
        <v>94</v>
      </c>
      <c r="K1" s="13"/>
      <c r="L1" s="13"/>
      <c r="M1" s="13"/>
      <c r="N1" s="14"/>
      <c r="O1" s="16" t="s">
        <v>101</v>
      </c>
      <c r="P1" s="8" t="s">
        <v>108</v>
      </c>
      <c r="Q1" s="8" t="s">
        <v>110</v>
      </c>
      <c r="R1" s="8" t="s">
        <v>116</v>
      </c>
      <c r="S1" s="8" t="s">
        <v>118</v>
      </c>
      <c r="T1" s="8" t="s">
        <v>123</v>
      </c>
      <c r="U1" s="8" t="s">
        <v>129</v>
      </c>
      <c r="V1" s="8" t="s">
        <v>130</v>
      </c>
      <c r="W1" s="19" t="s">
        <v>134</v>
      </c>
      <c r="X1" s="8" t="s">
        <v>136</v>
      </c>
      <c r="Y1" s="8" t="s">
        <v>137</v>
      </c>
    </row>
    <row r="2" ht="43.5" customHeight="1">
      <c r="A2" s="21"/>
      <c r="B2" s="21"/>
      <c r="C2" s="21"/>
      <c r="D2" s="21"/>
      <c r="E2" s="21"/>
      <c r="F2" s="21"/>
      <c r="G2" s="21"/>
      <c r="H2" s="21"/>
      <c r="I2" s="21"/>
      <c r="J2" s="22" t="s">
        <v>138</v>
      </c>
      <c r="K2" s="22" t="s">
        <v>139</v>
      </c>
      <c r="L2" s="22" t="s">
        <v>140</v>
      </c>
      <c r="M2" s="22" t="s">
        <v>141</v>
      </c>
      <c r="N2" s="22" t="s">
        <v>142</v>
      </c>
      <c r="O2" s="21"/>
      <c r="P2" s="21"/>
      <c r="Q2" s="21"/>
      <c r="R2" s="21"/>
      <c r="S2" s="21"/>
      <c r="T2" s="21"/>
      <c r="U2" s="21"/>
      <c r="V2" s="21"/>
      <c r="W2" s="21"/>
      <c r="X2" s="21"/>
      <c r="Y2" s="21"/>
    </row>
    <row r="3" ht="133.5" customHeight="1">
      <c r="A3" s="23" t="s">
        <v>143</v>
      </c>
      <c r="B3" s="25" t="s">
        <v>144</v>
      </c>
      <c r="C3" s="25" t="s">
        <v>145</v>
      </c>
      <c r="D3" s="26">
        <v>1.0</v>
      </c>
      <c r="E3" s="25" t="s">
        <v>147</v>
      </c>
      <c r="F3" s="25" t="s">
        <v>148</v>
      </c>
      <c r="G3" s="28" t="s">
        <v>149</v>
      </c>
      <c r="H3" s="28" t="s">
        <v>152</v>
      </c>
      <c r="I3" s="29" t="s">
        <v>16</v>
      </c>
      <c r="J3" s="30" t="s">
        <v>157</v>
      </c>
      <c r="K3" s="30" t="s">
        <v>160</v>
      </c>
      <c r="L3" s="30" t="s">
        <v>161</v>
      </c>
      <c r="M3" s="30" t="s">
        <v>162</v>
      </c>
      <c r="N3" s="30" t="s">
        <v>164</v>
      </c>
      <c r="O3" s="31" t="s">
        <v>165</v>
      </c>
      <c r="P3" s="29" t="s">
        <v>170</v>
      </c>
      <c r="Q3" s="29" t="s">
        <v>171</v>
      </c>
      <c r="R3" s="32" t="s">
        <v>173</v>
      </c>
      <c r="S3" s="33" t="s">
        <v>177</v>
      </c>
      <c r="T3" s="32" t="s">
        <v>180</v>
      </c>
      <c r="U3" s="36" t="s">
        <v>190</v>
      </c>
      <c r="V3" s="36" t="s">
        <v>194</v>
      </c>
      <c r="W3" s="37" t="s">
        <v>197</v>
      </c>
      <c r="X3" s="32" t="s">
        <v>201</v>
      </c>
      <c r="Y3" s="33" t="s">
        <v>206</v>
      </c>
    </row>
    <row r="4" ht="67.5" customHeight="1">
      <c r="A4" s="39"/>
      <c r="B4" s="25" t="s">
        <v>144</v>
      </c>
      <c r="C4" s="25" t="s">
        <v>208</v>
      </c>
      <c r="D4" s="26">
        <v>2.0</v>
      </c>
      <c r="E4" s="25" t="s">
        <v>210</v>
      </c>
      <c r="F4" s="40" t="s">
        <v>211</v>
      </c>
      <c r="G4" s="39"/>
      <c r="H4" s="39"/>
      <c r="I4" s="29" t="s">
        <v>46</v>
      </c>
      <c r="J4" s="30" t="s">
        <v>214</v>
      </c>
      <c r="K4" s="30" t="s">
        <v>215</v>
      </c>
      <c r="L4" s="30" t="s">
        <v>216</v>
      </c>
      <c r="M4" s="30" t="s">
        <v>217</v>
      </c>
      <c r="N4" s="30" t="s">
        <v>218</v>
      </c>
      <c r="O4" s="31" t="s">
        <v>219</v>
      </c>
      <c r="P4" s="29" t="s">
        <v>220</v>
      </c>
      <c r="Q4" s="29" t="s">
        <v>221</v>
      </c>
      <c r="R4" s="39"/>
      <c r="S4" s="33" t="s">
        <v>222</v>
      </c>
      <c r="T4" s="39"/>
      <c r="U4" s="36" t="s">
        <v>223</v>
      </c>
      <c r="V4" s="36" t="s">
        <v>225</v>
      </c>
      <c r="W4" s="37" t="s">
        <v>227</v>
      </c>
      <c r="X4" s="39"/>
      <c r="Y4" s="33" t="s">
        <v>228</v>
      </c>
    </row>
    <row r="5" ht="81.0" customHeight="1">
      <c r="A5" s="39"/>
      <c r="B5" s="25" t="s">
        <v>144</v>
      </c>
      <c r="C5" s="25" t="s">
        <v>230</v>
      </c>
      <c r="D5" s="26">
        <v>3.0</v>
      </c>
      <c r="E5" s="25" t="s">
        <v>231</v>
      </c>
      <c r="F5" s="40" t="s">
        <v>233</v>
      </c>
      <c r="G5" s="39"/>
      <c r="H5" s="39"/>
      <c r="I5" s="29" t="s">
        <v>16</v>
      </c>
      <c r="J5" s="30" t="s">
        <v>235</v>
      </c>
      <c r="K5" s="30" t="s">
        <v>236</v>
      </c>
      <c r="L5" s="30" t="s">
        <v>237</v>
      </c>
      <c r="M5" s="30" t="s">
        <v>238</v>
      </c>
      <c r="N5" s="30" t="s">
        <v>239</v>
      </c>
      <c r="O5" s="31" t="s">
        <v>241</v>
      </c>
      <c r="P5" s="29" t="s">
        <v>242</v>
      </c>
      <c r="Q5" s="29" t="s">
        <v>243</v>
      </c>
      <c r="R5" s="39"/>
      <c r="S5" s="33" t="s">
        <v>245</v>
      </c>
      <c r="T5" s="39"/>
      <c r="U5" s="36" t="s">
        <v>246</v>
      </c>
      <c r="V5" s="36" t="s">
        <v>249</v>
      </c>
      <c r="W5" s="37" t="s">
        <v>250</v>
      </c>
      <c r="X5" s="39"/>
      <c r="Y5" s="33" t="s">
        <v>251</v>
      </c>
    </row>
    <row r="6" ht="76.5" customHeight="1">
      <c r="A6" s="39"/>
      <c r="B6" s="25" t="s">
        <v>144</v>
      </c>
      <c r="C6" s="25" t="s">
        <v>230</v>
      </c>
      <c r="D6" s="26">
        <v>4.0</v>
      </c>
      <c r="E6" s="25" t="s">
        <v>252</v>
      </c>
      <c r="F6" s="40" t="s">
        <v>254</v>
      </c>
      <c r="G6" s="39"/>
      <c r="H6" s="39"/>
      <c r="I6" s="29" t="s">
        <v>46</v>
      </c>
      <c r="J6" s="30" t="s">
        <v>255</v>
      </c>
      <c r="K6" s="30" t="s">
        <v>256</v>
      </c>
      <c r="L6" s="30" t="s">
        <v>258</v>
      </c>
      <c r="M6" s="30" t="s">
        <v>259</v>
      </c>
      <c r="N6" s="30" t="s">
        <v>260</v>
      </c>
      <c r="O6" s="31" t="s">
        <v>261</v>
      </c>
      <c r="P6" s="29" t="s">
        <v>262</v>
      </c>
      <c r="Q6" s="29" t="s">
        <v>263</v>
      </c>
      <c r="R6" s="39"/>
      <c r="S6" s="33" t="s">
        <v>264</v>
      </c>
      <c r="T6" s="39"/>
      <c r="U6" s="36" t="s">
        <v>265</v>
      </c>
      <c r="V6" s="36" t="s">
        <v>266</v>
      </c>
      <c r="W6" s="37" t="s">
        <v>267</v>
      </c>
      <c r="X6" s="39"/>
      <c r="Y6" s="33" t="s">
        <v>268</v>
      </c>
    </row>
    <row r="7" ht="84.0" customHeight="1">
      <c r="A7" s="39"/>
      <c r="B7" s="25" t="s">
        <v>144</v>
      </c>
      <c r="C7" s="25" t="s">
        <v>230</v>
      </c>
      <c r="D7" s="26">
        <v>5.0</v>
      </c>
      <c r="E7" s="25" t="s">
        <v>270</v>
      </c>
      <c r="F7" s="40" t="s">
        <v>271</v>
      </c>
      <c r="G7" s="39"/>
      <c r="H7" s="39"/>
      <c r="I7" s="29" t="s">
        <v>68</v>
      </c>
      <c r="J7" s="30" t="s">
        <v>272</v>
      </c>
      <c r="K7" s="30" t="s">
        <v>273</v>
      </c>
      <c r="L7" s="30" t="s">
        <v>274</v>
      </c>
      <c r="M7" s="30" t="s">
        <v>275</v>
      </c>
      <c r="N7" s="30" t="s">
        <v>276</v>
      </c>
      <c r="O7" s="31" t="s">
        <v>277</v>
      </c>
      <c r="P7" s="29" t="s">
        <v>278</v>
      </c>
      <c r="Q7" s="29" t="s">
        <v>280</v>
      </c>
      <c r="R7" s="39"/>
      <c r="S7" s="33" t="s">
        <v>281</v>
      </c>
      <c r="T7" s="39"/>
      <c r="U7" s="36" t="s">
        <v>282</v>
      </c>
      <c r="V7" s="36" t="s">
        <v>285</v>
      </c>
      <c r="W7" s="37" t="s">
        <v>286</v>
      </c>
      <c r="X7" s="39"/>
      <c r="Y7" s="33" t="s">
        <v>287</v>
      </c>
    </row>
    <row r="8" ht="88.5" customHeight="1">
      <c r="A8" s="39"/>
      <c r="B8" s="25" t="s">
        <v>144</v>
      </c>
      <c r="C8" s="25" t="s">
        <v>288</v>
      </c>
      <c r="D8" s="26">
        <v>6.0</v>
      </c>
      <c r="E8" s="25" t="s">
        <v>289</v>
      </c>
      <c r="F8" s="40" t="s">
        <v>290</v>
      </c>
      <c r="G8" s="39"/>
      <c r="H8" s="39"/>
      <c r="I8" s="29" t="s">
        <v>16</v>
      </c>
      <c r="J8" s="30" t="s">
        <v>292</v>
      </c>
      <c r="K8" s="30" t="s">
        <v>293</v>
      </c>
      <c r="L8" s="30" t="s">
        <v>294</v>
      </c>
      <c r="M8" s="30" t="s">
        <v>295</v>
      </c>
      <c r="N8" s="30" t="s">
        <v>296</v>
      </c>
      <c r="O8" s="31" t="s">
        <v>297</v>
      </c>
      <c r="P8" s="29" t="s">
        <v>298</v>
      </c>
      <c r="Q8" s="29" t="s">
        <v>299</v>
      </c>
      <c r="R8" s="39"/>
      <c r="S8" s="33" t="s">
        <v>300</v>
      </c>
      <c r="T8" s="39"/>
      <c r="U8" s="36" t="s">
        <v>301</v>
      </c>
      <c r="V8" s="36" t="s">
        <v>302</v>
      </c>
      <c r="W8" s="37" t="s">
        <v>303</v>
      </c>
      <c r="X8" s="39"/>
      <c r="Y8" s="33" t="s">
        <v>304</v>
      </c>
    </row>
    <row r="9" ht="79.5" customHeight="1">
      <c r="A9" s="39"/>
      <c r="B9" s="25" t="s">
        <v>144</v>
      </c>
      <c r="C9" s="25" t="s">
        <v>288</v>
      </c>
      <c r="D9" s="26">
        <v>7.0</v>
      </c>
      <c r="E9" s="25" t="s">
        <v>305</v>
      </c>
      <c r="F9" s="40" t="s">
        <v>306</v>
      </c>
      <c r="G9" s="39"/>
      <c r="H9" s="39"/>
      <c r="I9" s="29" t="s">
        <v>46</v>
      </c>
      <c r="J9" s="30" t="s">
        <v>307</v>
      </c>
      <c r="K9" s="30" t="s">
        <v>308</v>
      </c>
      <c r="L9" s="30" t="s">
        <v>309</v>
      </c>
      <c r="M9" s="30" t="s">
        <v>310</v>
      </c>
      <c r="N9" s="30" t="s">
        <v>311</v>
      </c>
      <c r="O9" s="31" t="s">
        <v>312</v>
      </c>
      <c r="P9" s="29" t="s">
        <v>313</v>
      </c>
      <c r="Q9" s="29" t="s">
        <v>314</v>
      </c>
      <c r="R9" s="39"/>
      <c r="S9" s="33" t="s">
        <v>316</v>
      </c>
      <c r="T9" s="39"/>
      <c r="U9" s="36" t="s">
        <v>318</v>
      </c>
      <c r="V9" s="36" t="s">
        <v>319</v>
      </c>
      <c r="W9" s="37" t="s">
        <v>320</v>
      </c>
      <c r="X9" s="39"/>
      <c r="Y9" s="33" t="s">
        <v>322</v>
      </c>
    </row>
    <row r="10" ht="76.5" customHeight="1">
      <c r="A10" s="39"/>
      <c r="B10" s="25" t="s">
        <v>144</v>
      </c>
      <c r="C10" s="25" t="s">
        <v>288</v>
      </c>
      <c r="D10" s="26">
        <v>8.0</v>
      </c>
      <c r="E10" s="25" t="s">
        <v>323</v>
      </c>
      <c r="F10" s="40" t="s">
        <v>325</v>
      </c>
      <c r="G10" s="39"/>
      <c r="H10" s="39"/>
      <c r="I10" s="29" t="s">
        <v>16</v>
      </c>
      <c r="J10" s="30" t="s">
        <v>327</v>
      </c>
      <c r="K10" s="30" t="s">
        <v>328</v>
      </c>
      <c r="L10" s="30" t="s">
        <v>330</v>
      </c>
      <c r="M10" s="30" t="s">
        <v>331</v>
      </c>
      <c r="N10" s="30" t="s">
        <v>333</v>
      </c>
      <c r="O10" s="31" t="s">
        <v>334</v>
      </c>
      <c r="P10" s="29" t="s">
        <v>335</v>
      </c>
      <c r="Q10" s="29" t="s">
        <v>336</v>
      </c>
      <c r="R10" s="39"/>
      <c r="S10" s="33" t="s">
        <v>337</v>
      </c>
      <c r="T10" s="39"/>
      <c r="U10" s="36" t="s">
        <v>339</v>
      </c>
      <c r="V10" s="36" t="s">
        <v>342</v>
      </c>
      <c r="W10" s="37" t="s">
        <v>343</v>
      </c>
      <c r="X10" s="39"/>
      <c r="Y10" s="33" t="s">
        <v>344</v>
      </c>
    </row>
    <row r="11" ht="67.5" customHeight="1">
      <c r="A11" s="21"/>
      <c r="B11" s="25" t="s">
        <v>144</v>
      </c>
      <c r="C11" s="25" t="s">
        <v>288</v>
      </c>
      <c r="D11" s="26">
        <v>9.0</v>
      </c>
      <c r="E11" s="25" t="s">
        <v>346</v>
      </c>
      <c r="F11" s="40" t="s">
        <v>347</v>
      </c>
      <c r="G11" s="21"/>
      <c r="H11" s="21"/>
      <c r="I11" s="29" t="s">
        <v>46</v>
      </c>
      <c r="J11" s="30" t="s">
        <v>349</v>
      </c>
      <c r="K11" s="30" t="s">
        <v>350</v>
      </c>
      <c r="L11" s="30" t="s">
        <v>351</v>
      </c>
      <c r="M11" s="30" t="s">
        <v>352</v>
      </c>
      <c r="N11" s="30" t="s">
        <v>353</v>
      </c>
      <c r="O11" s="31" t="s">
        <v>354</v>
      </c>
      <c r="P11" s="29" t="s">
        <v>355</v>
      </c>
      <c r="Q11" s="29" t="s">
        <v>356</v>
      </c>
      <c r="R11" s="21"/>
      <c r="S11" s="33" t="s">
        <v>357</v>
      </c>
      <c r="T11" s="21"/>
      <c r="U11" s="36" t="s">
        <v>359</v>
      </c>
      <c r="V11" s="36" t="s">
        <v>361</v>
      </c>
      <c r="W11" s="37" t="s">
        <v>362</v>
      </c>
      <c r="X11" s="21"/>
      <c r="Y11" s="33" t="s">
        <v>363</v>
      </c>
    </row>
    <row r="12" ht="136.5" customHeight="1">
      <c r="A12" s="23" t="s">
        <v>364</v>
      </c>
      <c r="B12" s="25" t="s">
        <v>365</v>
      </c>
      <c r="C12" s="49" t="s">
        <v>366</v>
      </c>
      <c r="D12" s="50">
        <v>10.0</v>
      </c>
      <c r="E12" s="49" t="s">
        <v>368</v>
      </c>
      <c r="F12" s="49" t="s">
        <v>370</v>
      </c>
      <c r="G12" s="28" t="s">
        <v>371</v>
      </c>
      <c r="H12" s="28" t="s">
        <v>373</v>
      </c>
      <c r="I12" s="52" t="s">
        <v>46</v>
      </c>
      <c r="J12" s="53" t="s">
        <v>375</v>
      </c>
      <c r="K12" s="53" t="s">
        <v>377</v>
      </c>
      <c r="L12" s="53" t="s">
        <v>378</v>
      </c>
      <c r="M12" s="53" t="s">
        <v>380</v>
      </c>
      <c r="N12" s="53" t="s">
        <v>381</v>
      </c>
      <c r="O12" s="54" t="s">
        <v>384</v>
      </c>
      <c r="P12" s="52" t="s">
        <v>387</v>
      </c>
      <c r="Q12" s="52" t="s">
        <v>388</v>
      </c>
      <c r="R12" s="32" t="s">
        <v>390</v>
      </c>
      <c r="S12" s="55" t="s">
        <v>392</v>
      </c>
      <c r="T12" s="32" t="s">
        <v>394</v>
      </c>
      <c r="U12" s="56" t="s">
        <v>396</v>
      </c>
      <c r="V12" s="56" t="s">
        <v>399</v>
      </c>
      <c r="W12" s="57" t="s">
        <v>400</v>
      </c>
      <c r="X12" s="32" t="s">
        <v>404</v>
      </c>
      <c r="Y12" s="33" t="s">
        <v>405</v>
      </c>
    </row>
    <row r="13" ht="81.0" customHeight="1">
      <c r="A13" s="21"/>
      <c r="B13" s="25" t="s">
        <v>365</v>
      </c>
      <c r="C13" s="25" t="s">
        <v>407</v>
      </c>
      <c r="D13" s="26">
        <v>11.0</v>
      </c>
      <c r="E13" s="25" t="s">
        <v>409</v>
      </c>
      <c r="F13" s="40" t="s">
        <v>411</v>
      </c>
      <c r="G13" s="21"/>
      <c r="H13" s="21"/>
      <c r="I13" s="29" t="s">
        <v>16</v>
      </c>
      <c r="J13" s="30" t="s">
        <v>413</v>
      </c>
      <c r="K13" s="30" t="s">
        <v>415</v>
      </c>
      <c r="L13" s="30" t="s">
        <v>416</v>
      </c>
      <c r="M13" s="30" t="s">
        <v>418</v>
      </c>
      <c r="N13" s="30" t="s">
        <v>420</v>
      </c>
      <c r="O13" s="31" t="s">
        <v>422</v>
      </c>
      <c r="P13" s="29" t="s">
        <v>424</v>
      </c>
      <c r="Q13" s="29" t="s">
        <v>425</v>
      </c>
      <c r="R13" s="21"/>
      <c r="S13" s="33" t="s">
        <v>428</v>
      </c>
      <c r="T13" s="21"/>
      <c r="U13" s="36" t="s">
        <v>429</v>
      </c>
      <c r="V13" s="36" t="s">
        <v>432</v>
      </c>
      <c r="W13" s="37" t="s">
        <v>434</v>
      </c>
      <c r="X13" s="21"/>
      <c r="Y13" s="33" t="s">
        <v>435</v>
      </c>
    </row>
    <row r="14" ht="142.5" customHeight="1">
      <c r="A14" s="23" t="s">
        <v>437</v>
      </c>
      <c r="B14" s="25" t="s">
        <v>442</v>
      </c>
      <c r="C14" s="25" t="s">
        <v>443</v>
      </c>
      <c r="D14" s="26">
        <v>12.0</v>
      </c>
      <c r="E14" s="25" t="s">
        <v>444</v>
      </c>
      <c r="F14" s="25" t="s">
        <v>446</v>
      </c>
      <c r="G14" s="28" t="s">
        <v>448</v>
      </c>
      <c r="H14" s="28" t="s">
        <v>452</v>
      </c>
      <c r="I14" s="29" t="s">
        <v>16</v>
      </c>
      <c r="J14" s="30" t="s">
        <v>457</v>
      </c>
      <c r="K14" s="30" t="s">
        <v>459</v>
      </c>
      <c r="L14" s="30" t="s">
        <v>460</v>
      </c>
      <c r="M14" s="30" t="s">
        <v>462</v>
      </c>
      <c r="N14" s="30" t="s">
        <v>463</v>
      </c>
      <c r="O14" s="31" t="s">
        <v>466</v>
      </c>
      <c r="P14" s="29" t="s">
        <v>467</v>
      </c>
      <c r="Q14" s="29" t="s">
        <v>469</v>
      </c>
      <c r="R14" s="32" t="s">
        <v>471</v>
      </c>
      <c r="S14" s="33" t="s">
        <v>477</v>
      </c>
      <c r="T14" s="32" t="s">
        <v>480</v>
      </c>
      <c r="U14" s="36" t="s">
        <v>486</v>
      </c>
      <c r="V14" s="36" t="s">
        <v>490</v>
      </c>
      <c r="W14" s="37" t="s">
        <v>492</v>
      </c>
      <c r="X14" s="32" t="s">
        <v>498</v>
      </c>
      <c r="Y14" s="33" t="s">
        <v>502</v>
      </c>
    </row>
    <row r="15" ht="75.0" customHeight="1">
      <c r="A15" s="39"/>
      <c r="B15" s="25" t="s">
        <v>442</v>
      </c>
      <c r="C15" s="25" t="s">
        <v>443</v>
      </c>
      <c r="D15" s="26">
        <v>13.0</v>
      </c>
      <c r="E15" s="25" t="s">
        <v>504</v>
      </c>
      <c r="F15" s="25" t="s">
        <v>505</v>
      </c>
      <c r="G15" s="39"/>
      <c r="H15" s="39"/>
      <c r="I15" s="29" t="s">
        <v>46</v>
      </c>
      <c r="J15" s="30" t="s">
        <v>506</v>
      </c>
      <c r="K15" s="30" t="s">
        <v>508</v>
      </c>
      <c r="L15" s="30" t="s">
        <v>509</v>
      </c>
      <c r="M15" s="30" t="s">
        <v>511</v>
      </c>
      <c r="N15" s="30" t="s">
        <v>513</v>
      </c>
      <c r="O15" s="31" t="s">
        <v>516</v>
      </c>
      <c r="P15" s="29" t="s">
        <v>517</v>
      </c>
      <c r="Q15" s="29" t="s">
        <v>520</v>
      </c>
      <c r="R15" s="39"/>
      <c r="S15" s="33" t="s">
        <v>522</v>
      </c>
      <c r="T15" s="39"/>
      <c r="U15" s="36" t="s">
        <v>526</v>
      </c>
      <c r="V15" s="36" t="s">
        <v>530</v>
      </c>
      <c r="W15" s="37" t="s">
        <v>533</v>
      </c>
      <c r="X15" s="39"/>
      <c r="Y15" s="33" t="s">
        <v>535</v>
      </c>
    </row>
    <row r="16" ht="75.0" customHeight="1">
      <c r="A16" s="39"/>
      <c r="B16" s="25" t="s">
        <v>442</v>
      </c>
      <c r="C16" s="25" t="s">
        <v>443</v>
      </c>
      <c r="D16" s="26">
        <v>14.0</v>
      </c>
      <c r="E16" s="25" t="s">
        <v>537</v>
      </c>
      <c r="F16" s="25" t="s">
        <v>539</v>
      </c>
      <c r="G16" s="39"/>
      <c r="H16" s="39"/>
      <c r="I16" s="29" t="s">
        <v>16</v>
      </c>
      <c r="J16" s="30" t="s">
        <v>541</v>
      </c>
      <c r="K16" s="30" t="s">
        <v>543</v>
      </c>
      <c r="L16" s="30" t="s">
        <v>544</v>
      </c>
      <c r="M16" s="30" t="s">
        <v>545</v>
      </c>
      <c r="N16" s="30" t="s">
        <v>546</v>
      </c>
      <c r="O16" s="31" t="s">
        <v>547</v>
      </c>
      <c r="P16" s="29" t="s">
        <v>548</v>
      </c>
      <c r="Q16" s="29" t="s">
        <v>550</v>
      </c>
      <c r="R16" s="39"/>
      <c r="S16" s="33" t="s">
        <v>553</v>
      </c>
      <c r="T16" s="39"/>
      <c r="U16" s="36" t="s">
        <v>555</v>
      </c>
      <c r="V16" s="36" t="s">
        <v>559</v>
      </c>
      <c r="W16" s="37" t="s">
        <v>561</v>
      </c>
      <c r="X16" s="39"/>
      <c r="Y16" s="33" t="s">
        <v>562</v>
      </c>
    </row>
    <row r="17" ht="72.0" customHeight="1">
      <c r="A17" s="39"/>
      <c r="B17" s="25" t="s">
        <v>442</v>
      </c>
      <c r="C17" s="25" t="s">
        <v>565</v>
      </c>
      <c r="D17" s="26">
        <v>15.0</v>
      </c>
      <c r="E17" s="25" t="s">
        <v>566</v>
      </c>
      <c r="F17" s="25" t="s">
        <v>569</v>
      </c>
      <c r="G17" s="39"/>
      <c r="H17" s="39"/>
      <c r="I17" s="29" t="s">
        <v>68</v>
      </c>
      <c r="J17" s="30" t="s">
        <v>571</v>
      </c>
      <c r="K17" s="30" t="s">
        <v>572</v>
      </c>
      <c r="L17" s="30" t="s">
        <v>573</v>
      </c>
      <c r="M17" s="30" t="s">
        <v>574</v>
      </c>
      <c r="N17" s="30" t="s">
        <v>575</v>
      </c>
      <c r="O17" s="31" t="s">
        <v>578</v>
      </c>
      <c r="P17" s="29" t="s">
        <v>580</v>
      </c>
      <c r="Q17" s="29" t="s">
        <v>581</v>
      </c>
      <c r="R17" s="39"/>
      <c r="S17" s="33" t="s">
        <v>583</v>
      </c>
      <c r="T17" s="39"/>
      <c r="U17" s="36" t="s">
        <v>584</v>
      </c>
      <c r="V17" s="36" t="s">
        <v>585</v>
      </c>
      <c r="W17" s="37" t="s">
        <v>587</v>
      </c>
      <c r="X17" s="39"/>
      <c r="Y17" s="33" t="s">
        <v>588</v>
      </c>
    </row>
    <row r="18" ht="85.5" customHeight="1">
      <c r="A18" s="39"/>
      <c r="B18" s="25" t="s">
        <v>442</v>
      </c>
      <c r="C18" s="25" t="s">
        <v>565</v>
      </c>
      <c r="D18" s="26">
        <v>16.0</v>
      </c>
      <c r="E18" s="25" t="s">
        <v>589</v>
      </c>
      <c r="F18" s="25" t="s">
        <v>590</v>
      </c>
      <c r="G18" s="39"/>
      <c r="H18" s="39"/>
      <c r="I18" s="29" t="s">
        <v>46</v>
      </c>
      <c r="J18" s="30" t="s">
        <v>591</v>
      </c>
      <c r="K18" s="30" t="s">
        <v>593</v>
      </c>
      <c r="L18" s="30" t="s">
        <v>594</v>
      </c>
      <c r="M18" s="30" t="s">
        <v>595</v>
      </c>
      <c r="N18" s="30" t="s">
        <v>597</v>
      </c>
      <c r="O18" s="31" t="s">
        <v>598</v>
      </c>
      <c r="P18" s="29" t="s">
        <v>599</v>
      </c>
      <c r="Q18" s="29" t="s">
        <v>600</v>
      </c>
      <c r="R18" s="39"/>
      <c r="S18" s="33" t="s">
        <v>601</v>
      </c>
      <c r="T18" s="39"/>
      <c r="U18" s="36" t="s">
        <v>603</v>
      </c>
      <c r="V18" s="36" t="s">
        <v>604</v>
      </c>
      <c r="W18" s="37" t="s">
        <v>606</v>
      </c>
      <c r="X18" s="39"/>
      <c r="Y18" s="33" t="s">
        <v>607</v>
      </c>
    </row>
    <row r="19" ht="82.5" customHeight="1">
      <c r="A19" s="39"/>
      <c r="B19" s="25" t="s">
        <v>442</v>
      </c>
      <c r="C19" s="25" t="s">
        <v>608</v>
      </c>
      <c r="D19" s="26">
        <v>17.0</v>
      </c>
      <c r="E19" s="25" t="s">
        <v>610</v>
      </c>
      <c r="F19" s="40" t="s">
        <v>612</v>
      </c>
      <c r="G19" s="39"/>
      <c r="H19" s="39"/>
      <c r="I19" s="29" t="s">
        <v>16</v>
      </c>
      <c r="J19" s="30" t="s">
        <v>613</v>
      </c>
      <c r="K19" s="30" t="s">
        <v>614</v>
      </c>
      <c r="L19" s="30" t="s">
        <v>615</v>
      </c>
      <c r="M19" s="30" t="s">
        <v>617</v>
      </c>
      <c r="N19" s="30" t="s">
        <v>618</v>
      </c>
      <c r="O19" s="31" t="s">
        <v>620</v>
      </c>
      <c r="P19" s="29" t="s">
        <v>621</v>
      </c>
      <c r="Q19" s="29" t="s">
        <v>623</v>
      </c>
      <c r="R19" s="39"/>
      <c r="S19" s="33" t="s">
        <v>624</v>
      </c>
      <c r="T19" s="39"/>
      <c r="U19" s="36" t="s">
        <v>627</v>
      </c>
      <c r="V19" s="36" t="s">
        <v>631</v>
      </c>
      <c r="W19" s="37" t="s">
        <v>632</v>
      </c>
      <c r="X19" s="39"/>
      <c r="Y19" s="33" t="s">
        <v>634</v>
      </c>
    </row>
    <row r="20" ht="79.5" customHeight="1">
      <c r="A20" s="39"/>
      <c r="B20" s="25" t="s">
        <v>442</v>
      </c>
      <c r="C20" s="25" t="s">
        <v>608</v>
      </c>
      <c r="D20" s="26">
        <v>18.0</v>
      </c>
      <c r="E20" s="25" t="s">
        <v>635</v>
      </c>
      <c r="F20" s="40" t="s">
        <v>636</v>
      </c>
      <c r="G20" s="39"/>
      <c r="H20" s="39"/>
      <c r="I20" s="29" t="s">
        <v>16</v>
      </c>
      <c r="J20" s="30" t="s">
        <v>638</v>
      </c>
      <c r="K20" s="30" t="s">
        <v>639</v>
      </c>
      <c r="L20" s="30" t="s">
        <v>640</v>
      </c>
      <c r="M20" s="30" t="s">
        <v>641</v>
      </c>
      <c r="N20" s="30" t="s">
        <v>642</v>
      </c>
      <c r="O20" s="31" t="s">
        <v>643</v>
      </c>
      <c r="P20" s="29" t="s">
        <v>644</v>
      </c>
      <c r="Q20" s="29" t="s">
        <v>645</v>
      </c>
      <c r="R20" s="39"/>
      <c r="S20" s="33" t="s">
        <v>646</v>
      </c>
      <c r="T20" s="39"/>
      <c r="U20" s="36" t="s">
        <v>648</v>
      </c>
      <c r="V20" s="36" t="s">
        <v>651</v>
      </c>
      <c r="W20" s="37" t="s">
        <v>652</v>
      </c>
      <c r="X20" s="39"/>
      <c r="Y20" s="33" t="s">
        <v>653</v>
      </c>
    </row>
    <row r="21" ht="72.0" customHeight="1">
      <c r="A21" s="39"/>
      <c r="B21" s="25" t="s">
        <v>442</v>
      </c>
      <c r="C21" s="25" t="s">
        <v>608</v>
      </c>
      <c r="D21" s="26">
        <v>19.0</v>
      </c>
      <c r="E21" s="25" t="s">
        <v>655</v>
      </c>
      <c r="F21" s="40" t="s">
        <v>657</v>
      </c>
      <c r="G21" s="39"/>
      <c r="H21" s="39"/>
      <c r="I21" s="29" t="s">
        <v>16</v>
      </c>
      <c r="J21" s="30" t="s">
        <v>658</v>
      </c>
      <c r="K21" s="30" t="s">
        <v>659</v>
      </c>
      <c r="L21" s="30" t="s">
        <v>661</v>
      </c>
      <c r="M21" s="30" t="s">
        <v>662</v>
      </c>
      <c r="N21" s="30" t="s">
        <v>664</v>
      </c>
      <c r="O21" s="31" t="s">
        <v>665</v>
      </c>
      <c r="P21" s="29" t="s">
        <v>666</v>
      </c>
      <c r="Q21" s="29" t="s">
        <v>668</v>
      </c>
      <c r="R21" s="39"/>
      <c r="S21" s="33" t="s">
        <v>670</v>
      </c>
      <c r="T21" s="39"/>
      <c r="U21" s="36" t="s">
        <v>672</v>
      </c>
      <c r="V21" s="36" t="s">
        <v>676</v>
      </c>
      <c r="W21" s="37" t="s">
        <v>677</v>
      </c>
      <c r="X21" s="39"/>
      <c r="Y21" s="33" t="s">
        <v>679</v>
      </c>
    </row>
    <row r="22" ht="100.5" customHeight="1">
      <c r="A22" s="21"/>
      <c r="B22" s="25" t="s">
        <v>442</v>
      </c>
      <c r="C22" s="25" t="s">
        <v>608</v>
      </c>
      <c r="D22" s="26">
        <v>20.0</v>
      </c>
      <c r="E22" s="25" t="s">
        <v>681</v>
      </c>
      <c r="F22" s="40" t="s">
        <v>682</v>
      </c>
      <c r="G22" s="21"/>
      <c r="H22" s="21"/>
      <c r="I22" s="29" t="s">
        <v>16</v>
      </c>
      <c r="J22" s="30" t="s">
        <v>683</v>
      </c>
      <c r="K22" s="30" t="s">
        <v>684</v>
      </c>
      <c r="L22" s="30" t="s">
        <v>685</v>
      </c>
      <c r="M22" s="30" t="s">
        <v>686</v>
      </c>
      <c r="N22" s="30" t="s">
        <v>687</v>
      </c>
      <c r="O22" s="31" t="s">
        <v>688</v>
      </c>
      <c r="P22" s="29" t="s">
        <v>689</v>
      </c>
      <c r="Q22" s="29" t="s">
        <v>690</v>
      </c>
      <c r="R22" s="21"/>
      <c r="S22" s="33" t="s">
        <v>692</v>
      </c>
      <c r="T22" s="21"/>
      <c r="U22" s="36" t="s">
        <v>695</v>
      </c>
      <c r="V22" s="36" t="s">
        <v>697</v>
      </c>
      <c r="W22" s="37" t="s">
        <v>699</v>
      </c>
      <c r="X22" s="21"/>
      <c r="Y22" s="33" t="s">
        <v>701</v>
      </c>
    </row>
    <row r="23" ht="85.5" customHeight="1">
      <c r="A23" s="23"/>
      <c r="B23" s="25" t="s">
        <v>704</v>
      </c>
      <c r="C23" s="25" t="s">
        <v>705</v>
      </c>
      <c r="D23" s="26">
        <v>21.0</v>
      </c>
      <c r="E23" s="25" t="s">
        <v>707</v>
      </c>
      <c r="F23" s="40" t="s">
        <v>708</v>
      </c>
      <c r="G23" s="28"/>
      <c r="H23" s="28"/>
      <c r="I23" s="29" t="s">
        <v>16</v>
      </c>
      <c r="J23" s="30" t="s">
        <v>715</v>
      </c>
      <c r="K23" s="30" t="s">
        <v>716</v>
      </c>
      <c r="L23" s="30" t="s">
        <v>717</v>
      </c>
      <c r="M23" s="30" t="s">
        <v>718</v>
      </c>
      <c r="N23" s="30" t="s">
        <v>719</v>
      </c>
      <c r="O23" s="31" t="s">
        <v>721</v>
      </c>
      <c r="P23" s="29" t="s">
        <v>722</v>
      </c>
      <c r="Q23" s="29" t="s">
        <v>723</v>
      </c>
      <c r="R23" s="32"/>
      <c r="S23" s="33" t="s">
        <v>725</v>
      </c>
      <c r="T23" s="32"/>
      <c r="U23" s="36" t="s">
        <v>728</v>
      </c>
      <c r="V23" s="36" t="s">
        <v>730</v>
      </c>
      <c r="W23" s="37" t="s">
        <v>732</v>
      </c>
      <c r="X23" s="32"/>
      <c r="Y23" s="33" t="s">
        <v>734</v>
      </c>
    </row>
    <row r="24" ht="91.5" customHeight="1">
      <c r="A24" s="39"/>
      <c r="B24" s="25" t="s">
        <v>704</v>
      </c>
      <c r="C24" s="25" t="s">
        <v>705</v>
      </c>
      <c r="D24" s="26">
        <v>22.0</v>
      </c>
      <c r="E24" s="25" t="s">
        <v>737</v>
      </c>
      <c r="F24" s="40" t="s">
        <v>738</v>
      </c>
      <c r="G24" s="39"/>
      <c r="H24" s="39"/>
      <c r="I24" s="29" t="s">
        <v>16</v>
      </c>
      <c r="J24" s="30" t="s">
        <v>741</v>
      </c>
      <c r="K24" s="30" t="s">
        <v>742</v>
      </c>
      <c r="L24" s="30" t="s">
        <v>744</v>
      </c>
      <c r="M24" s="30" t="s">
        <v>745</v>
      </c>
      <c r="N24" s="30" t="s">
        <v>747</v>
      </c>
      <c r="O24" s="31" t="s">
        <v>748</v>
      </c>
      <c r="P24" s="29" t="s">
        <v>749</v>
      </c>
      <c r="Q24" s="29" t="s">
        <v>750</v>
      </c>
      <c r="R24" s="39"/>
      <c r="S24" s="33" t="s">
        <v>752</v>
      </c>
      <c r="T24" s="39"/>
      <c r="U24" s="36" t="s">
        <v>754</v>
      </c>
      <c r="V24" s="36" t="s">
        <v>756</v>
      </c>
      <c r="W24" s="37" t="s">
        <v>757</v>
      </c>
      <c r="X24" s="39"/>
      <c r="Y24" s="33" t="s">
        <v>758</v>
      </c>
    </row>
    <row r="25" ht="67.5" customHeight="1">
      <c r="A25" s="39"/>
      <c r="B25" s="25" t="s">
        <v>704</v>
      </c>
      <c r="C25" s="25" t="s">
        <v>759</v>
      </c>
      <c r="D25" s="26">
        <v>23.0</v>
      </c>
      <c r="E25" s="25" t="s">
        <v>760</v>
      </c>
      <c r="F25" s="40" t="s">
        <v>761</v>
      </c>
      <c r="G25" s="39"/>
      <c r="H25" s="39"/>
      <c r="I25" s="29" t="s">
        <v>46</v>
      </c>
      <c r="J25" s="30" t="s">
        <v>763</v>
      </c>
      <c r="K25" s="30" t="s">
        <v>764</v>
      </c>
      <c r="L25" s="30" t="s">
        <v>766</v>
      </c>
      <c r="M25" s="30" t="s">
        <v>767</v>
      </c>
      <c r="N25" s="30" t="s">
        <v>768</v>
      </c>
      <c r="O25" s="31" t="s">
        <v>770</v>
      </c>
      <c r="P25" s="29" t="s">
        <v>771</v>
      </c>
      <c r="Q25" s="29" t="s">
        <v>772</v>
      </c>
      <c r="R25" s="39"/>
      <c r="S25" s="33" t="s">
        <v>773</v>
      </c>
      <c r="T25" s="39"/>
      <c r="U25" s="36" t="s">
        <v>774</v>
      </c>
      <c r="V25" s="36" t="s">
        <v>777</v>
      </c>
      <c r="W25" s="37" t="s">
        <v>779</v>
      </c>
      <c r="X25" s="39"/>
      <c r="Y25" s="33" t="s">
        <v>780</v>
      </c>
    </row>
    <row r="26" ht="81.0" customHeight="1">
      <c r="A26" s="39"/>
      <c r="B26" s="25" t="s">
        <v>704</v>
      </c>
      <c r="C26" s="25" t="s">
        <v>759</v>
      </c>
      <c r="D26" s="26">
        <v>24.0</v>
      </c>
      <c r="E26" s="25" t="s">
        <v>783</v>
      </c>
      <c r="F26" s="40" t="s">
        <v>785</v>
      </c>
      <c r="G26" s="39"/>
      <c r="H26" s="39"/>
      <c r="I26" s="29" t="s">
        <v>46</v>
      </c>
      <c r="J26" s="30" t="s">
        <v>788</v>
      </c>
      <c r="K26" s="30" t="s">
        <v>789</v>
      </c>
      <c r="L26" s="30" t="s">
        <v>791</v>
      </c>
      <c r="M26" s="30" t="s">
        <v>793</v>
      </c>
      <c r="N26" s="30" t="s">
        <v>795</v>
      </c>
      <c r="O26" s="31" t="s">
        <v>797</v>
      </c>
      <c r="P26" s="29" t="s">
        <v>799</v>
      </c>
      <c r="Q26" s="29" t="s">
        <v>801</v>
      </c>
      <c r="R26" s="39"/>
      <c r="S26" s="33" t="s">
        <v>803</v>
      </c>
      <c r="T26" s="39"/>
      <c r="U26" s="36" t="s">
        <v>804</v>
      </c>
      <c r="V26" s="36" t="s">
        <v>807</v>
      </c>
      <c r="W26" s="37" t="s">
        <v>808</v>
      </c>
      <c r="X26" s="39"/>
      <c r="Y26" s="33" t="s">
        <v>809</v>
      </c>
    </row>
    <row r="27" ht="82.5" customHeight="1">
      <c r="A27" s="39"/>
      <c r="B27" s="25" t="s">
        <v>704</v>
      </c>
      <c r="C27" s="25" t="s">
        <v>759</v>
      </c>
      <c r="D27" s="26">
        <v>25.0</v>
      </c>
      <c r="E27" s="25" t="s">
        <v>812</v>
      </c>
      <c r="F27" s="40" t="s">
        <v>815</v>
      </c>
      <c r="G27" s="39"/>
      <c r="H27" s="39"/>
      <c r="I27" s="29" t="s">
        <v>16</v>
      </c>
      <c r="J27" s="30" t="s">
        <v>818</v>
      </c>
      <c r="K27" s="30" t="s">
        <v>819</v>
      </c>
      <c r="L27" s="30" t="s">
        <v>821</v>
      </c>
      <c r="M27" s="30" t="s">
        <v>822</v>
      </c>
      <c r="N27" s="30" t="s">
        <v>824</v>
      </c>
      <c r="O27" s="31" t="s">
        <v>826</v>
      </c>
      <c r="P27" s="29" t="s">
        <v>828</v>
      </c>
      <c r="Q27" s="29" t="s">
        <v>830</v>
      </c>
      <c r="R27" s="39"/>
      <c r="S27" s="33" t="s">
        <v>833</v>
      </c>
      <c r="T27" s="39"/>
      <c r="U27" s="36" t="s">
        <v>835</v>
      </c>
      <c r="V27" s="36" t="s">
        <v>843</v>
      </c>
      <c r="W27" s="37" t="s">
        <v>846</v>
      </c>
      <c r="X27" s="39"/>
      <c r="Y27" s="33" t="s">
        <v>849</v>
      </c>
    </row>
    <row r="28" ht="84.0" customHeight="1">
      <c r="A28" s="39"/>
      <c r="B28" s="25" t="s">
        <v>704</v>
      </c>
      <c r="C28" s="25" t="s">
        <v>759</v>
      </c>
      <c r="D28" s="26">
        <v>26.0</v>
      </c>
      <c r="E28" s="25" t="s">
        <v>855</v>
      </c>
      <c r="F28" s="40" t="s">
        <v>858</v>
      </c>
      <c r="G28" s="39"/>
      <c r="H28" s="39"/>
      <c r="I28" s="29" t="s">
        <v>16</v>
      </c>
      <c r="J28" s="30" t="s">
        <v>863</v>
      </c>
      <c r="K28" s="30" t="s">
        <v>865</v>
      </c>
      <c r="L28" s="30" t="s">
        <v>868</v>
      </c>
      <c r="M28" s="30" t="s">
        <v>870</v>
      </c>
      <c r="N28" s="30" t="s">
        <v>871</v>
      </c>
      <c r="O28" s="31" t="s">
        <v>873</v>
      </c>
      <c r="P28" s="29" t="s">
        <v>876</v>
      </c>
      <c r="Q28" s="29" t="s">
        <v>878</v>
      </c>
      <c r="R28" s="39"/>
      <c r="S28" s="33" t="s">
        <v>880</v>
      </c>
      <c r="T28" s="39"/>
      <c r="U28" s="36" t="s">
        <v>883</v>
      </c>
      <c r="V28" s="36" t="s">
        <v>890</v>
      </c>
      <c r="W28" s="37" t="s">
        <v>893</v>
      </c>
      <c r="X28" s="39"/>
      <c r="Y28" s="33" t="s">
        <v>897</v>
      </c>
    </row>
    <row r="29" ht="93.0" customHeight="1">
      <c r="A29" s="21"/>
      <c r="B29" s="25" t="s">
        <v>704</v>
      </c>
      <c r="C29" s="25" t="s">
        <v>759</v>
      </c>
      <c r="D29" s="26">
        <v>27.0</v>
      </c>
      <c r="E29" s="25" t="s">
        <v>902</v>
      </c>
      <c r="F29" s="40" t="s">
        <v>904</v>
      </c>
      <c r="G29" s="21"/>
      <c r="H29" s="21"/>
      <c r="I29" s="29" t="s">
        <v>68</v>
      </c>
      <c r="J29" s="30" t="s">
        <v>908</v>
      </c>
      <c r="K29" s="30" t="s">
        <v>910</v>
      </c>
      <c r="L29" s="30" t="s">
        <v>912</v>
      </c>
      <c r="M29" s="30" t="s">
        <v>914</v>
      </c>
      <c r="N29" s="30" t="s">
        <v>915</v>
      </c>
      <c r="O29" s="31" t="s">
        <v>917</v>
      </c>
      <c r="P29" s="29" t="s">
        <v>918</v>
      </c>
      <c r="Q29" s="29" t="s">
        <v>919</v>
      </c>
      <c r="R29" s="21"/>
      <c r="S29" s="33" t="s">
        <v>923</v>
      </c>
      <c r="T29" s="21"/>
      <c r="U29" s="36" t="s">
        <v>927</v>
      </c>
      <c r="V29" s="36" t="s">
        <v>936</v>
      </c>
      <c r="W29" s="37" t="s">
        <v>938</v>
      </c>
      <c r="X29" s="21"/>
      <c r="Y29" s="33" t="s">
        <v>941</v>
      </c>
    </row>
    <row r="30" ht="82.5" customHeight="1">
      <c r="A30" s="23"/>
      <c r="B30" s="25" t="s">
        <v>947</v>
      </c>
      <c r="C30" s="25" t="s">
        <v>949</v>
      </c>
      <c r="D30" s="26">
        <v>28.0</v>
      </c>
      <c r="E30" s="25" t="s">
        <v>950</v>
      </c>
      <c r="F30" s="40" t="s">
        <v>952</v>
      </c>
      <c r="G30" s="28"/>
      <c r="H30" s="28"/>
      <c r="I30" s="29" t="s">
        <v>16</v>
      </c>
      <c r="J30" s="30" t="s">
        <v>961</v>
      </c>
      <c r="K30" s="30" t="s">
        <v>963</v>
      </c>
      <c r="L30" s="30" t="s">
        <v>965</v>
      </c>
      <c r="M30" s="30" t="s">
        <v>967</v>
      </c>
      <c r="N30" s="30" t="s">
        <v>969</v>
      </c>
      <c r="O30" s="31" t="s">
        <v>971</v>
      </c>
      <c r="P30" s="29" t="s">
        <v>973</v>
      </c>
      <c r="Q30" s="29" t="s">
        <v>974</v>
      </c>
      <c r="R30" s="32"/>
      <c r="S30" s="33" t="s">
        <v>981</v>
      </c>
      <c r="T30" s="32"/>
      <c r="U30" s="36" t="s">
        <v>990</v>
      </c>
      <c r="V30" s="36" t="s">
        <v>997</v>
      </c>
      <c r="W30" s="37" t="s">
        <v>999</v>
      </c>
      <c r="X30" s="32"/>
      <c r="Y30" s="33" t="s">
        <v>1002</v>
      </c>
    </row>
    <row r="31" ht="78.0" customHeight="1">
      <c r="A31" s="39"/>
      <c r="B31" s="25" t="s">
        <v>947</v>
      </c>
      <c r="C31" s="25" t="s">
        <v>949</v>
      </c>
      <c r="D31" s="26">
        <v>29.0</v>
      </c>
      <c r="E31" s="25" t="s">
        <v>1004</v>
      </c>
      <c r="F31" s="40" t="s">
        <v>1005</v>
      </c>
      <c r="G31" s="39"/>
      <c r="H31" s="39"/>
      <c r="I31" s="29" t="s">
        <v>16</v>
      </c>
      <c r="J31" s="30" t="s">
        <v>1006</v>
      </c>
      <c r="K31" s="30" t="s">
        <v>1007</v>
      </c>
      <c r="L31" s="30" t="s">
        <v>1008</v>
      </c>
      <c r="M31" s="30" t="s">
        <v>1009</v>
      </c>
      <c r="N31" s="30" t="s">
        <v>1011</v>
      </c>
      <c r="O31" s="31" t="s">
        <v>1012</v>
      </c>
      <c r="P31" s="29" t="s">
        <v>1013</v>
      </c>
      <c r="Q31" s="29" t="s">
        <v>1015</v>
      </c>
      <c r="R31" s="39"/>
      <c r="S31" s="33" t="s">
        <v>1017</v>
      </c>
      <c r="T31" s="39"/>
      <c r="U31" s="36" t="s">
        <v>1019</v>
      </c>
      <c r="V31" s="36" t="s">
        <v>1021</v>
      </c>
      <c r="W31" s="37" t="s">
        <v>1023</v>
      </c>
      <c r="X31" s="39"/>
      <c r="Y31" s="33" t="s">
        <v>1024</v>
      </c>
    </row>
    <row r="32" ht="87.0" customHeight="1">
      <c r="A32" s="39"/>
      <c r="B32" s="25" t="s">
        <v>947</v>
      </c>
      <c r="C32" s="25" t="s">
        <v>1026</v>
      </c>
      <c r="D32" s="26">
        <v>30.0</v>
      </c>
      <c r="E32" s="25" t="s">
        <v>1028</v>
      </c>
      <c r="F32" s="40" t="s">
        <v>1030</v>
      </c>
      <c r="G32" s="39"/>
      <c r="H32" s="39"/>
      <c r="I32" s="29" t="s">
        <v>16</v>
      </c>
      <c r="J32" s="30" t="s">
        <v>1032</v>
      </c>
      <c r="K32" s="30" t="s">
        <v>1034</v>
      </c>
      <c r="L32" s="30" t="s">
        <v>1035</v>
      </c>
      <c r="M32" s="30" t="s">
        <v>1037</v>
      </c>
      <c r="N32" s="30" t="s">
        <v>1038</v>
      </c>
      <c r="O32" s="31" t="s">
        <v>1040</v>
      </c>
      <c r="P32" s="29" t="s">
        <v>1041</v>
      </c>
      <c r="Q32" s="29" t="s">
        <v>1042</v>
      </c>
      <c r="R32" s="39"/>
      <c r="S32" s="33" t="s">
        <v>1044</v>
      </c>
      <c r="T32" s="39"/>
      <c r="U32" s="36" t="s">
        <v>1045</v>
      </c>
      <c r="V32" s="36" t="s">
        <v>1047</v>
      </c>
      <c r="W32" s="37" t="s">
        <v>1048</v>
      </c>
      <c r="X32" s="39"/>
      <c r="Y32" s="33" t="s">
        <v>1049</v>
      </c>
    </row>
    <row r="33" ht="67.5" customHeight="1">
      <c r="A33" s="39"/>
      <c r="B33" s="25" t="s">
        <v>947</v>
      </c>
      <c r="C33" s="25" t="s">
        <v>1051</v>
      </c>
      <c r="D33" s="26">
        <v>31.0</v>
      </c>
      <c r="E33" s="25" t="s">
        <v>1052</v>
      </c>
      <c r="F33" s="40" t="s">
        <v>1054</v>
      </c>
      <c r="G33" s="39"/>
      <c r="H33" s="39"/>
      <c r="I33" s="29" t="s">
        <v>16</v>
      </c>
      <c r="J33" s="30" t="s">
        <v>1055</v>
      </c>
      <c r="K33" s="30" t="s">
        <v>1057</v>
      </c>
      <c r="L33" s="30" t="s">
        <v>1058</v>
      </c>
      <c r="M33" s="30" t="s">
        <v>1059</v>
      </c>
      <c r="N33" s="30" t="s">
        <v>1060</v>
      </c>
      <c r="O33" s="31" t="s">
        <v>1061</v>
      </c>
      <c r="P33" s="29" t="s">
        <v>1062</v>
      </c>
      <c r="Q33" s="29" t="s">
        <v>1063</v>
      </c>
      <c r="R33" s="39"/>
      <c r="S33" s="33" t="s">
        <v>1065</v>
      </c>
      <c r="T33" s="39"/>
      <c r="U33" s="36" t="s">
        <v>1066</v>
      </c>
      <c r="V33" s="36" t="s">
        <v>1069</v>
      </c>
      <c r="W33" s="37" t="s">
        <v>1071</v>
      </c>
      <c r="X33" s="39"/>
      <c r="Y33" s="33" t="s">
        <v>1073</v>
      </c>
    </row>
    <row r="34" ht="61.5" customHeight="1">
      <c r="A34" s="39"/>
      <c r="B34" s="25" t="s">
        <v>947</v>
      </c>
      <c r="C34" s="25" t="s">
        <v>1075</v>
      </c>
      <c r="D34" s="26">
        <v>32.0</v>
      </c>
      <c r="E34" s="25" t="s">
        <v>1077</v>
      </c>
      <c r="F34" s="40" t="s">
        <v>1078</v>
      </c>
      <c r="G34" s="39"/>
      <c r="H34" s="39"/>
      <c r="I34" s="29" t="s">
        <v>46</v>
      </c>
      <c r="J34" s="30" t="s">
        <v>1082</v>
      </c>
      <c r="K34" s="30" t="s">
        <v>1086</v>
      </c>
      <c r="L34" s="30" t="s">
        <v>1088</v>
      </c>
      <c r="M34" s="30" t="s">
        <v>1089</v>
      </c>
      <c r="N34" s="30" t="s">
        <v>1090</v>
      </c>
      <c r="O34" s="31" t="s">
        <v>1092</v>
      </c>
      <c r="P34" s="29" t="s">
        <v>1093</v>
      </c>
      <c r="Q34" s="29" t="s">
        <v>1095</v>
      </c>
      <c r="R34" s="39"/>
      <c r="S34" s="33" t="s">
        <v>1097</v>
      </c>
      <c r="T34" s="39"/>
      <c r="U34" s="36" t="s">
        <v>1101</v>
      </c>
      <c r="V34" s="36" t="s">
        <v>1108</v>
      </c>
      <c r="W34" s="37" t="s">
        <v>1109</v>
      </c>
      <c r="X34" s="39"/>
      <c r="Y34" s="33" t="s">
        <v>1111</v>
      </c>
    </row>
    <row r="35" ht="76.5" customHeight="1">
      <c r="A35" s="39"/>
      <c r="B35" s="25" t="s">
        <v>947</v>
      </c>
      <c r="C35" s="25" t="s">
        <v>1114</v>
      </c>
      <c r="D35" s="26">
        <v>33.0</v>
      </c>
      <c r="E35" s="25" t="s">
        <v>1115</v>
      </c>
      <c r="F35" s="40" t="s">
        <v>1117</v>
      </c>
      <c r="G35" s="39"/>
      <c r="H35" s="39"/>
      <c r="I35" s="29" t="s">
        <v>16</v>
      </c>
      <c r="J35" s="30" t="s">
        <v>1120</v>
      </c>
      <c r="K35" s="30" t="s">
        <v>1121</v>
      </c>
      <c r="L35" s="30" t="s">
        <v>1123</v>
      </c>
      <c r="M35" s="30" t="s">
        <v>1124</v>
      </c>
      <c r="N35" s="30" t="s">
        <v>1126</v>
      </c>
      <c r="O35" s="31" t="s">
        <v>1128</v>
      </c>
      <c r="P35" s="29" t="s">
        <v>1129</v>
      </c>
      <c r="Q35" s="29" t="s">
        <v>1131</v>
      </c>
      <c r="R35" s="39"/>
      <c r="S35" s="33" t="s">
        <v>1133</v>
      </c>
      <c r="T35" s="39"/>
      <c r="U35" s="36" t="s">
        <v>1135</v>
      </c>
      <c r="V35" s="36" t="s">
        <v>1144</v>
      </c>
      <c r="W35" s="37" t="s">
        <v>1146</v>
      </c>
      <c r="X35" s="39"/>
      <c r="Y35" s="33" t="s">
        <v>1149</v>
      </c>
    </row>
    <row r="36" ht="63.0" customHeight="1">
      <c r="A36" s="39"/>
      <c r="B36" s="25" t="s">
        <v>947</v>
      </c>
      <c r="C36" s="25" t="s">
        <v>1151</v>
      </c>
      <c r="D36" s="26">
        <v>34.0</v>
      </c>
      <c r="E36" s="25" t="s">
        <v>1154</v>
      </c>
      <c r="F36" s="40" t="s">
        <v>1156</v>
      </c>
      <c r="G36" s="39"/>
      <c r="H36" s="39"/>
      <c r="I36" s="29" t="s">
        <v>46</v>
      </c>
      <c r="J36" s="30" t="s">
        <v>1158</v>
      </c>
      <c r="K36" s="30" t="s">
        <v>1159</v>
      </c>
      <c r="L36" s="30" t="s">
        <v>1161</v>
      </c>
      <c r="M36" s="30" t="s">
        <v>1163</v>
      </c>
      <c r="N36" s="30" t="s">
        <v>1166</v>
      </c>
      <c r="O36" s="31" t="s">
        <v>1167</v>
      </c>
      <c r="P36" s="29" t="s">
        <v>1169</v>
      </c>
      <c r="Q36" s="29" t="s">
        <v>1171</v>
      </c>
      <c r="R36" s="39"/>
      <c r="S36" s="33" t="s">
        <v>1172</v>
      </c>
      <c r="T36" s="39"/>
      <c r="U36" s="36" t="s">
        <v>1175</v>
      </c>
      <c r="V36" s="36" t="s">
        <v>1180</v>
      </c>
      <c r="W36" s="37" t="s">
        <v>1182</v>
      </c>
      <c r="X36" s="39"/>
      <c r="Y36" s="33" t="s">
        <v>1183</v>
      </c>
    </row>
    <row r="37" ht="61.5" customHeight="1">
      <c r="A37" s="39"/>
      <c r="B37" s="25" t="s">
        <v>947</v>
      </c>
      <c r="C37" s="25" t="s">
        <v>1184</v>
      </c>
      <c r="D37" s="26">
        <v>35.0</v>
      </c>
      <c r="E37" s="25" t="s">
        <v>1186</v>
      </c>
      <c r="F37" s="40" t="s">
        <v>1188</v>
      </c>
      <c r="G37" s="39"/>
      <c r="H37" s="39"/>
      <c r="I37" s="29" t="s">
        <v>16</v>
      </c>
      <c r="J37" s="30" t="s">
        <v>1190</v>
      </c>
      <c r="K37" s="30" t="s">
        <v>1191</v>
      </c>
      <c r="L37" s="30" t="s">
        <v>1193</v>
      </c>
      <c r="M37" s="30" t="s">
        <v>1194</v>
      </c>
      <c r="N37" s="30" t="s">
        <v>1195</v>
      </c>
      <c r="O37" s="31" t="s">
        <v>1196</v>
      </c>
      <c r="P37" s="29" t="s">
        <v>1197</v>
      </c>
      <c r="Q37" s="29" t="s">
        <v>1198</v>
      </c>
      <c r="R37" s="39"/>
      <c r="S37" s="33" t="s">
        <v>1200</v>
      </c>
      <c r="T37" s="39"/>
      <c r="U37" s="36" t="s">
        <v>1201</v>
      </c>
      <c r="V37" s="36" t="s">
        <v>1205</v>
      </c>
      <c r="W37" s="37" t="s">
        <v>1208</v>
      </c>
      <c r="X37" s="39"/>
      <c r="Y37" s="33" t="s">
        <v>1211</v>
      </c>
    </row>
    <row r="38" ht="64.5" customHeight="1">
      <c r="A38" s="21"/>
      <c r="B38" s="25" t="s">
        <v>947</v>
      </c>
      <c r="C38" s="25" t="s">
        <v>1214</v>
      </c>
      <c r="D38" s="26">
        <v>36.0</v>
      </c>
      <c r="E38" s="25" t="s">
        <v>1215</v>
      </c>
      <c r="F38" s="40" t="s">
        <v>1216</v>
      </c>
      <c r="G38" s="21"/>
      <c r="H38" s="21"/>
      <c r="I38" s="29" t="s">
        <v>68</v>
      </c>
      <c r="J38" s="30" t="s">
        <v>1219</v>
      </c>
      <c r="K38" s="30" t="s">
        <v>1220</v>
      </c>
      <c r="L38" s="30" t="s">
        <v>1221</v>
      </c>
      <c r="M38" s="30" t="s">
        <v>1223</v>
      </c>
      <c r="N38" s="30" t="s">
        <v>1224</v>
      </c>
      <c r="O38" s="31" t="s">
        <v>1225</v>
      </c>
      <c r="P38" s="29" t="s">
        <v>1226</v>
      </c>
      <c r="Q38" s="29" t="s">
        <v>1227</v>
      </c>
      <c r="R38" s="21"/>
      <c r="S38" s="33" t="s">
        <v>1229</v>
      </c>
      <c r="T38" s="21"/>
      <c r="U38" s="36" t="s">
        <v>1232</v>
      </c>
      <c r="V38" s="36" t="s">
        <v>1233</v>
      </c>
      <c r="W38" s="37" t="s">
        <v>1234</v>
      </c>
      <c r="X38" s="21"/>
      <c r="Y38" s="33" t="s">
        <v>1235</v>
      </c>
    </row>
    <row r="39" ht="132.0" customHeight="1">
      <c r="A39" s="23" t="s">
        <v>1237</v>
      </c>
      <c r="B39" s="25" t="s">
        <v>1239</v>
      </c>
      <c r="C39" s="25" t="s">
        <v>1241</v>
      </c>
      <c r="D39" s="26">
        <v>37.0</v>
      </c>
      <c r="E39" s="25" t="s">
        <v>1244</v>
      </c>
      <c r="F39" s="25" t="s">
        <v>1248</v>
      </c>
      <c r="G39" s="28" t="s">
        <v>1251</v>
      </c>
      <c r="H39" s="28" t="s">
        <v>1254</v>
      </c>
      <c r="I39" s="29" t="s">
        <v>46</v>
      </c>
      <c r="J39" s="30" t="s">
        <v>1258</v>
      </c>
      <c r="K39" s="30" t="s">
        <v>1260</v>
      </c>
      <c r="L39" s="30" t="s">
        <v>1262</v>
      </c>
      <c r="M39" s="30" t="s">
        <v>1265</v>
      </c>
      <c r="N39" s="30" t="s">
        <v>1268</v>
      </c>
      <c r="O39" s="31" t="s">
        <v>1270</v>
      </c>
      <c r="P39" s="29" t="s">
        <v>1272</v>
      </c>
      <c r="Q39" s="29" t="s">
        <v>1274</v>
      </c>
      <c r="R39" s="32" t="s">
        <v>1276</v>
      </c>
      <c r="S39" s="33" t="s">
        <v>1278</v>
      </c>
      <c r="T39" s="32" t="s">
        <v>1279</v>
      </c>
      <c r="U39" s="36" t="s">
        <v>1284</v>
      </c>
      <c r="V39" s="36" t="s">
        <v>1291</v>
      </c>
      <c r="W39" s="37" t="s">
        <v>1294</v>
      </c>
      <c r="X39" s="32" t="s">
        <v>1298</v>
      </c>
      <c r="Y39" s="33" t="s">
        <v>1300</v>
      </c>
    </row>
    <row r="40" ht="88.5" customHeight="1">
      <c r="A40" s="39"/>
      <c r="B40" s="25" t="s">
        <v>1239</v>
      </c>
      <c r="C40" s="25" t="s">
        <v>1301</v>
      </c>
      <c r="D40" s="26">
        <v>38.0</v>
      </c>
      <c r="E40" s="25" t="s">
        <v>1303</v>
      </c>
      <c r="F40" s="25" t="s">
        <v>1304</v>
      </c>
      <c r="G40" s="39"/>
      <c r="H40" s="39"/>
      <c r="I40" s="29" t="s">
        <v>46</v>
      </c>
      <c r="J40" s="30" t="s">
        <v>1307</v>
      </c>
      <c r="K40" s="30" t="s">
        <v>1308</v>
      </c>
      <c r="L40" s="30" t="s">
        <v>1309</v>
      </c>
      <c r="M40" s="30" t="s">
        <v>1311</v>
      </c>
      <c r="N40" s="30" t="s">
        <v>1313</v>
      </c>
      <c r="O40" s="31" t="s">
        <v>1314</v>
      </c>
      <c r="P40" s="29" t="s">
        <v>1315</v>
      </c>
      <c r="Q40" s="29" t="s">
        <v>1316</v>
      </c>
      <c r="R40" s="39"/>
      <c r="S40" s="33" t="s">
        <v>1319</v>
      </c>
      <c r="T40" s="39"/>
      <c r="U40" s="36" t="s">
        <v>1322</v>
      </c>
      <c r="V40" s="36" t="s">
        <v>1328</v>
      </c>
      <c r="W40" s="37" t="s">
        <v>1331</v>
      </c>
      <c r="X40" s="39"/>
      <c r="Y40" s="33" t="s">
        <v>1333</v>
      </c>
    </row>
    <row r="41" ht="81.0" customHeight="1">
      <c r="A41" s="39"/>
      <c r="B41" s="25" t="s">
        <v>1239</v>
      </c>
      <c r="C41" s="25" t="s">
        <v>1336</v>
      </c>
      <c r="D41" s="26">
        <v>39.0</v>
      </c>
      <c r="E41" s="25" t="s">
        <v>1337</v>
      </c>
      <c r="F41" s="25" t="s">
        <v>1338</v>
      </c>
      <c r="G41" s="39"/>
      <c r="H41" s="39"/>
      <c r="I41" s="29" t="s">
        <v>16</v>
      </c>
      <c r="J41" s="30" t="s">
        <v>1340</v>
      </c>
      <c r="K41" s="30" t="s">
        <v>1341</v>
      </c>
      <c r="L41" s="30" t="s">
        <v>1343</v>
      </c>
      <c r="M41" s="30" t="s">
        <v>1345</v>
      </c>
      <c r="N41" s="30" t="s">
        <v>1347</v>
      </c>
      <c r="O41" s="31" t="s">
        <v>1349</v>
      </c>
      <c r="P41" s="29" t="s">
        <v>1351</v>
      </c>
      <c r="Q41" s="29" t="s">
        <v>1353</v>
      </c>
      <c r="R41" s="39"/>
      <c r="S41" s="33" t="s">
        <v>1355</v>
      </c>
      <c r="T41" s="39"/>
      <c r="U41" s="36" t="s">
        <v>1358</v>
      </c>
      <c r="V41" s="36" t="s">
        <v>1365</v>
      </c>
      <c r="W41" s="37" t="s">
        <v>1367</v>
      </c>
      <c r="X41" s="39"/>
      <c r="Y41" s="33" t="s">
        <v>1369</v>
      </c>
    </row>
    <row r="42" ht="70.5" customHeight="1">
      <c r="A42" s="21"/>
      <c r="B42" s="25" t="s">
        <v>1239</v>
      </c>
      <c r="C42" s="25" t="s">
        <v>1370</v>
      </c>
      <c r="D42" s="26">
        <v>40.0</v>
      </c>
      <c r="E42" s="25" t="s">
        <v>1373</v>
      </c>
      <c r="F42" s="25" t="s">
        <v>1375</v>
      </c>
      <c r="G42" s="21"/>
      <c r="H42" s="21"/>
      <c r="I42" s="29" t="s">
        <v>16</v>
      </c>
      <c r="J42" s="30" t="s">
        <v>1379</v>
      </c>
      <c r="K42" s="30" t="s">
        <v>1382</v>
      </c>
      <c r="L42" s="30" t="s">
        <v>1385</v>
      </c>
      <c r="M42" s="30" t="s">
        <v>1387</v>
      </c>
      <c r="N42" s="30" t="s">
        <v>1389</v>
      </c>
      <c r="O42" s="31" t="s">
        <v>1390</v>
      </c>
      <c r="P42" s="29" t="s">
        <v>1391</v>
      </c>
      <c r="Q42" s="29" t="s">
        <v>1393</v>
      </c>
      <c r="R42" s="21"/>
      <c r="S42" s="33" t="s">
        <v>1395</v>
      </c>
      <c r="T42" s="21"/>
      <c r="U42" s="36" t="s">
        <v>1400</v>
      </c>
      <c r="V42" s="36" t="s">
        <v>1405</v>
      </c>
      <c r="W42" s="37" t="s">
        <v>1406</v>
      </c>
      <c r="X42" s="21"/>
      <c r="Y42" s="33" t="s">
        <v>1408</v>
      </c>
    </row>
    <row r="43" ht="118.5" customHeight="1">
      <c r="A43" s="23" t="s">
        <v>1411</v>
      </c>
      <c r="B43" s="25" t="s">
        <v>1418</v>
      </c>
      <c r="C43" s="25" t="s">
        <v>1420</v>
      </c>
      <c r="D43" s="26">
        <v>41.0</v>
      </c>
      <c r="E43" s="25" t="s">
        <v>1421</v>
      </c>
      <c r="F43" s="25" t="s">
        <v>1424</v>
      </c>
      <c r="G43" s="28" t="s">
        <v>1427</v>
      </c>
      <c r="H43" s="28" t="s">
        <v>1431</v>
      </c>
      <c r="I43" s="29" t="s">
        <v>16</v>
      </c>
      <c r="J43" s="30" t="s">
        <v>1434</v>
      </c>
      <c r="K43" s="30" t="s">
        <v>1435</v>
      </c>
      <c r="L43" s="30" t="s">
        <v>1436</v>
      </c>
      <c r="M43" s="30" t="s">
        <v>1437</v>
      </c>
      <c r="N43" s="30" t="s">
        <v>1440</v>
      </c>
      <c r="O43" s="31" t="s">
        <v>1442</v>
      </c>
      <c r="P43" s="29" t="s">
        <v>1445</v>
      </c>
      <c r="Q43" s="29" t="s">
        <v>1446</v>
      </c>
      <c r="R43" s="32" t="s">
        <v>1447</v>
      </c>
      <c r="S43" s="33" t="s">
        <v>1448</v>
      </c>
      <c r="T43" s="32" t="s">
        <v>1449</v>
      </c>
      <c r="U43" s="36" t="s">
        <v>1456</v>
      </c>
      <c r="V43" s="36" t="s">
        <v>1462</v>
      </c>
      <c r="W43" s="37" t="s">
        <v>1463</v>
      </c>
      <c r="X43" s="32" t="s">
        <v>1466</v>
      </c>
      <c r="Y43" s="33" t="s">
        <v>1469</v>
      </c>
    </row>
    <row r="44" ht="70.5" customHeight="1">
      <c r="A44" s="39"/>
      <c r="B44" s="25" t="s">
        <v>1418</v>
      </c>
      <c r="C44" s="25" t="s">
        <v>1470</v>
      </c>
      <c r="D44" s="26">
        <v>42.0</v>
      </c>
      <c r="E44" s="25" t="s">
        <v>1472</v>
      </c>
      <c r="F44" s="25" t="s">
        <v>1475</v>
      </c>
      <c r="G44" s="39"/>
      <c r="H44" s="39"/>
      <c r="I44" s="29" t="s">
        <v>16</v>
      </c>
      <c r="J44" s="30" t="s">
        <v>1477</v>
      </c>
      <c r="K44" s="30" t="s">
        <v>1479</v>
      </c>
      <c r="L44" s="30" t="s">
        <v>1480</v>
      </c>
      <c r="M44" s="30" t="s">
        <v>1482</v>
      </c>
      <c r="N44" s="30" t="s">
        <v>1484</v>
      </c>
      <c r="O44" s="31" t="s">
        <v>1486</v>
      </c>
      <c r="P44" s="29" t="s">
        <v>1488</v>
      </c>
      <c r="Q44" s="29" t="s">
        <v>1489</v>
      </c>
      <c r="R44" s="39"/>
      <c r="S44" s="33" t="s">
        <v>1490</v>
      </c>
      <c r="T44" s="39"/>
      <c r="U44" s="36" t="s">
        <v>1492</v>
      </c>
      <c r="V44" s="36" t="s">
        <v>1494</v>
      </c>
      <c r="W44" s="37" t="s">
        <v>1497</v>
      </c>
      <c r="X44" s="39"/>
      <c r="Y44" s="33" t="s">
        <v>1499</v>
      </c>
    </row>
    <row r="45" ht="66.0" customHeight="1">
      <c r="A45" s="39"/>
      <c r="B45" s="25" t="s">
        <v>1418</v>
      </c>
      <c r="C45" s="25" t="s">
        <v>1502</v>
      </c>
      <c r="D45" s="26">
        <v>43.0</v>
      </c>
      <c r="E45" s="25" t="s">
        <v>1504</v>
      </c>
      <c r="F45" s="25" t="s">
        <v>1506</v>
      </c>
      <c r="G45" s="39"/>
      <c r="H45" s="39"/>
      <c r="I45" s="29" t="s">
        <v>46</v>
      </c>
      <c r="J45" s="30" t="s">
        <v>1512</v>
      </c>
      <c r="K45" s="30" t="s">
        <v>1514</v>
      </c>
      <c r="L45" s="30" t="s">
        <v>1517</v>
      </c>
      <c r="M45" s="30" t="s">
        <v>1519</v>
      </c>
      <c r="N45" s="30" t="s">
        <v>1521</v>
      </c>
      <c r="O45" s="31" t="s">
        <v>1523</v>
      </c>
      <c r="P45" s="29" t="s">
        <v>1525</v>
      </c>
      <c r="Q45" s="29" t="s">
        <v>1526</v>
      </c>
      <c r="R45" s="39"/>
      <c r="S45" s="33" t="s">
        <v>1527</v>
      </c>
      <c r="T45" s="39"/>
      <c r="U45" s="36" t="s">
        <v>1533</v>
      </c>
      <c r="V45" s="36" t="s">
        <v>1539</v>
      </c>
      <c r="W45" s="37" t="s">
        <v>1542</v>
      </c>
      <c r="X45" s="39"/>
      <c r="Y45" s="33" t="s">
        <v>1544</v>
      </c>
    </row>
    <row r="46" ht="70.5" customHeight="1">
      <c r="A46" s="39"/>
      <c r="B46" s="25" t="s">
        <v>1418</v>
      </c>
      <c r="C46" s="25" t="s">
        <v>1551</v>
      </c>
      <c r="D46" s="26">
        <v>44.0</v>
      </c>
      <c r="E46" s="25" t="s">
        <v>1555</v>
      </c>
      <c r="F46" s="25" t="s">
        <v>1556</v>
      </c>
      <c r="G46" s="39"/>
      <c r="H46" s="39"/>
      <c r="I46" s="29" t="s">
        <v>16</v>
      </c>
      <c r="J46" s="30" t="s">
        <v>1559</v>
      </c>
      <c r="K46" s="30" t="s">
        <v>1561</v>
      </c>
      <c r="L46" s="30" t="s">
        <v>1564</v>
      </c>
      <c r="M46" s="30" t="s">
        <v>1567</v>
      </c>
      <c r="N46" s="30" t="s">
        <v>1568</v>
      </c>
      <c r="O46" s="31" t="s">
        <v>1570</v>
      </c>
      <c r="P46" s="29" t="s">
        <v>1571</v>
      </c>
      <c r="Q46" s="29" t="s">
        <v>1573</v>
      </c>
      <c r="R46" s="39"/>
      <c r="S46" s="33" t="s">
        <v>1576</v>
      </c>
      <c r="T46" s="39"/>
      <c r="U46" s="36" t="s">
        <v>1583</v>
      </c>
      <c r="V46" s="36" t="s">
        <v>1593</v>
      </c>
      <c r="W46" s="37" t="s">
        <v>1594</v>
      </c>
      <c r="X46" s="39"/>
      <c r="Y46" s="33" t="s">
        <v>1595</v>
      </c>
    </row>
    <row r="47" ht="69.0" customHeight="1">
      <c r="A47" s="21"/>
      <c r="B47" s="25" t="s">
        <v>1418</v>
      </c>
      <c r="C47" s="25" t="s">
        <v>1598</v>
      </c>
      <c r="D47" s="26">
        <v>45.0</v>
      </c>
      <c r="E47" s="25" t="s">
        <v>1601</v>
      </c>
      <c r="F47" s="25" t="s">
        <v>1602</v>
      </c>
      <c r="G47" s="21"/>
      <c r="H47" s="21"/>
      <c r="I47" s="29" t="s">
        <v>16</v>
      </c>
      <c r="J47" s="30" t="s">
        <v>1609</v>
      </c>
      <c r="K47" s="30" t="s">
        <v>1611</v>
      </c>
      <c r="L47" s="30" t="s">
        <v>1613</v>
      </c>
      <c r="M47" s="30" t="s">
        <v>1614</v>
      </c>
      <c r="N47" s="30" t="s">
        <v>1615</v>
      </c>
      <c r="O47" s="31" t="s">
        <v>1616</v>
      </c>
      <c r="P47" s="29" t="s">
        <v>1618</v>
      </c>
      <c r="Q47" s="29" t="s">
        <v>1621</v>
      </c>
      <c r="R47" s="21"/>
      <c r="S47" s="33" t="s">
        <v>1627</v>
      </c>
      <c r="T47" s="21"/>
      <c r="U47" s="36" t="s">
        <v>1632</v>
      </c>
      <c r="V47" s="36" t="s">
        <v>1634</v>
      </c>
      <c r="W47" s="37" t="s">
        <v>1635</v>
      </c>
      <c r="X47" s="21"/>
      <c r="Y47" s="33" t="s">
        <v>1637</v>
      </c>
    </row>
    <row r="48" ht="126.0" customHeight="1">
      <c r="A48" s="23" t="s">
        <v>1639</v>
      </c>
      <c r="B48" s="25" t="s">
        <v>1647</v>
      </c>
      <c r="C48" s="40" t="s">
        <v>1649</v>
      </c>
      <c r="D48" s="26">
        <v>46.0</v>
      </c>
      <c r="E48" s="40" t="s">
        <v>1651</v>
      </c>
      <c r="F48" s="25" t="s">
        <v>1653</v>
      </c>
      <c r="G48" s="28" t="s">
        <v>1655</v>
      </c>
      <c r="H48" s="28" t="s">
        <v>1657</v>
      </c>
      <c r="I48" s="29" t="s">
        <v>16</v>
      </c>
      <c r="J48" s="30" t="s">
        <v>1660</v>
      </c>
      <c r="K48" s="30" t="s">
        <v>1662</v>
      </c>
      <c r="L48" s="30" t="s">
        <v>1663</v>
      </c>
      <c r="M48" s="30" t="s">
        <v>1665</v>
      </c>
      <c r="N48" s="30" t="s">
        <v>1667</v>
      </c>
      <c r="O48" s="31" t="s">
        <v>1669</v>
      </c>
      <c r="P48" s="29" t="s">
        <v>1670</v>
      </c>
      <c r="Q48" s="29" t="s">
        <v>1671</v>
      </c>
      <c r="R48" s="32" t="s">
        <v>1676</v>
      </c>
      <c r="S48" s="33" t="s">
        <v>1680</v>
      </c>
      <c r="T48" s="32" t="s">
        <v>1681</v>
      </c>
      <c r="U48" s="36" t="s">
        <v>1691</v>
      </c>
      <c r="V48" s="36" t="s">
        <v>1698</v>
      </c>
      <c r="W48" s="37" t="s">
        <v>1700</v>
      </c>
      <c r="X48" s="32" t="s">
        <v>1705</v>
      </c>
      <c r="Y48" s="33" t="s">
        <v>1709</v>
      </c>
    </row>
    <row r="49" ht="76.5" customHeight="1">
      <c r="A49" s="39"/>
      <c r="B49" s="25" t="s">
        <v>1647</v>
      </c>
      <c r="C49" s="25" t="s">
        <v>1712</v>
      </c>
      <c r="D49" s="26">
        <v>47.0</v>
      </c>
      <c r="E49" s="25" t="s">
        <v>1714</v>
      </c>
      <c r="F49" s="40" t="s">
        <v>1715</v>
      </c>
      <c r="G49" s="39"/>
      <c r="H49" s="39"/>
      <c r="I49" s="29" t="s">
        <v>16</v>
      </c>
      <c r="J49" s="30" t="s">
        <v>1718</v>
      </c>
      <c r="K49" s="30" t="s">
        <v>1719</v>
      </c>
      <c r="L49" s="30" t="s">
        <v>1721</v>
      </c>
      <c r="M49" s="30" t="s">
        <v>1725</v>
      </c>
      <c r="N49" s="30" t="s">
        <v>1728</v>
      </c>
      <c r="O49" s="31" t="s">
        <v>1730</v>
      </c>
      <c r="P49" s="29" t="s">
        <v>1731</v>
      </c>
      <c r="Q49" s="29" t="s">
        <v>1733</v>
      </c>
      <c r="R49" s="39"/>
      <c r="S49" s="33" t="s">
        <v>1735</v>
      </c>
      <c r="T49" s="39"/>
      <c r="U49" s="36" t="s">
        <v>1739</v>
      </c>
      <c r="V49" s="36" t="s">
        <v>1744</v>
      </c>
      <c r="W49" s="37" t="s">
        <v>1745</v>
      </c>
      <c r="X49" s="39"/>
      <c r="Y49" s="33" t="s">
        <v>1747</v>
      </c>
    </row>
    <row r="50" ht="58.5" customHeight="1">
      <c r="A50" s="39"/>
      <c r="B50" s="25" t="s">
        <v>1647</v>
      </c>
      <c r="C50" s="25" t="s">
        <v>1749</v>
      </c>
      <c r="D50" s="26">
        <v>48.0</v>
      </c>
      <c r="E50" s="25" t="s">
        <v>1750</v>
      </c>
      <c r="F50" s="40" t="s">
        <v>1751</v>
      </c>
      <c r="G50" s="39"/>
      <c r="H50" s="39"/>
      <c r="I50" s="29" t="s">
        <v>46</v>
      </c>
      <c r="J50" s="30" t="s">
        <v>1754</v>
      </c>
      <c r="K50" s="30" t="s">
        <v>1756</v>
      </c>
      <c r="L50" s="30" t="s">
        <v>1758</v>
      </c>
      <c r="M50" s="30" t="s">
        <v>1759</v>
      </c>
      <c r="N50" s="30" t="s">
        <v>1760</v>
      </c>
      <c r="O50" s="31" t="s">
        <v>1762</v>
      </c>
      <c r="P50" s="29" t="s">
        <v>1763</v>
      </c>
      <c r="Q50" s="29" t="s">
        <v>1765</v>
      </c>
      <c r="R50" s="39"/>
      <c r="S50" s="33" t="s">
        <v>1767</v>
      </c>
      <c r="T50" s="39"/>
      <c r="U50" s="36" t="s">
        <v>1769</v>
      </c>
      <c r="V50" s="36" t="s">
        <v>1777</v>
      </c>
      <c r="W50" s="37" t="s">
        <v>1779</v>
      </c>
      <c r="X50" s="39"/>
      <c r="Y50" s="33" t="s">
        <v>1781</v>
      </c>
    </row>
    <row r="51" ht="55.5" customHeight="1">
      <c r="A51" s="39"/>
      <c r="B51" s="25" t="s">
        <v>1647</v>
      </c>
      <c r="C51" s="25" t="s">
        <v>1782</v>
      </c>
      <c r="D51" s="26">
        <v>49.0</v>
      </c>
      <c r="E51" s="25" t="s">
        <v>1783</v>
      </c>
      <c r="F51" s="40" t="s">
        <v>1785</v>
      </c>
      <c r="G51" s="39"/>
      <c r="H51" s="39"/>
      <c r="I51" s="29" t="s">
        <v>68</v>
      </c>
      <c r="J51" s="30" t="s">
        <v>1786</v>
      </c>
      <c r="K51" s="30" t="s">
        <v>1787</v>
      </c>
      <c r="L51" s="30" t="s">
        <v>1788</v>
      </c>
      <c r="M51" s="30" t="s">
        <v>1789</v>
      </c>
      <c r="N51" s="30" t="s">
        <v>1791</v>
      </c>
      <c r="O51" s="31" t="s">
        <v>1793</v>
      </c>
      <c r="P51" s="29" t="s">
        <v>1794</v>
      </c>
      <c r="Q51" s="29" t="s">
        <v>1796</v>
      </c>
      <c r="R51" s="39"/>
      <c r="S51" s="33" t="s">
        <v>1798</v>
      </c>
      <c r="T51" s="39"/>
      <c r="U51" s="36" t="s">
        <v>1800</v>
      </c>
      <c r="V51" s="36" t="s">
        <v>1805</v>
      </c>
      <c r="W51" s="37" t="s">
        <v>1807</v>
      </c>
      <c r="X51" s="39"/>
      <c r="Y51" s="33" t="s">
        <v>1809</v>
      </c>
    </row>
    <row r="52" ht="76.5" customHeight="1">
      <c r="A52" s="39"/>
      <c r="B52" s="25" t="s">
        <v>1647</v>
      </c>
      <c r="C52" s="25" t="s">
        <v>1812</v>
      </c>
      <c r="D52" s="26">
        <v>50.0</v>
      </c>
      <c r="E52" s="25" t="s">
        <v>1814</v>
      </c>
      <c r="F52" s="40" t="s">
        <v>1816</v>
      </c>
      <c r="G52" s="39"/>
      <c r="H52" s="39"/>
      <c r="I52" s="29" t="s">
        <v>46</v>
      </c>
      <c r="J52" s="30" t="s">
        <v>1820</v>
      </c>
      <c r="K52" s="30" t="s">
        <v>1821</v>
      </c>
      <c r="L52" s="30" t="s">
        <v>1822</v>
      </c>
      <c r="M52" s="30" t="s">
        <v>1824</v>
      </c>
      <c r="N52" s="30" t="s">
        <v>1825</v>
      </c>
      <c r="O52" s="31" t="s">
        <v>1826</v>
      </c>
      <c r="P52" s="29" t="s">
        <v>1827</v>
      </c>
      <c r="Q52" s="29" t="s">
        <v>1828</v>
      </c>
      <c r="R52" s="39"/>
      <c r="S52" s="33" t="s">
        <v>1829</v>
      </c>
      <c r="T52" s="39"/>
      <c r="U52" s="36" t="s">
        <v>1832</v>
      </c>
      <c r="V52" s="36" t="s">
        <v>1835</v>
      </c>
      <c r="W52" s="37" t="s">
        <v>1837</v>
      </c>
      <c r="X52" s="39"/>
      <c r="Y52" s="33" t="s">
        <v>1839</v>
      </c>
    </row>
    <row r="53" ht="76.5" customHeight="1">
      <c r="A53" s="21"/>
      <c r="B53" s="25" t="s">
        <v>1647</v>
      </c>
      <c r="C53" s="25" t="s">
        <v>1842</v>
      </c>
      <c r="D53" s="26">
        <v>51.0</v>
      </c>
      <c r="E53" s="25" t="s">
        <v>1844</v>
      </c>
      <c r="F53" s="40" t="s">
        <v>1846</v>
      </c>
      <c r="G53" s="21"/>
      <c r="H53" s="21"/>
      <c r="I53" s="29" t="s">
        <v>16</v>
      </c>
      <c r="J53" s="30" t="s">
        <v>1849</v>
      </c>
      <c r="K53" s="30" t="s">
        <v>1851</v>
      </c>
      <c r="L53" s="30" t="s">
        <v>1853</v>
      </c>
      <c r="M53" s="30" t="s">
        <v>1855</v>
      </c>
      <c r="N53" s="30" t="s">
        <v>1856</v>
      </c>
      <c r="O53" s="31" t="s">
        <v>1858</v>
      </c>
      <c r="P53" s="29" t="s">
        <v>1860</v>
      </c>
      <c r="Q53" s="29" t="s">
        <v>1861</v>
      </c>
      <c r="R53" s="21"/>
      <c r="S53" s="33" t="s">
        <v>1863</v>
      </c>
      <c r="T53" s="21"/>
      <c r="U53" s="36" t="s">
        <v>1864</v>
      </c>
      <c r="V53" s="36" t="s">
        <v>1867</v>
      </c>
      <c r="W53" s="37" t="s">
        <v>1869</v>
      </c>
      <c r="X53" s="21"/>
      <c r="Y53" s="33" t="s">
        <v>1870</v>
      </c>
    </row>
    <row r="54" ht="133.5" customHeight="1">
      <c r="A54" s="23" t="s">
        <v>1872</v>
      </c>
      <c r="B54" s="25" t="s">
        <v>1874</v>
      </c>
      <c r="C54" s="25" t="s">
        <v>1875</v>
      </c>
      <c r="D54" s="26">
        <v>52.0</v>
      </c>
      <c r="E54" s="25" t="s">
        <v>1876</v>
      </c>
      <c r="F54" s="25" t="s">
        <v>1877</v>
      </c>
      <c r="G54" s="28" t="s">
        <v>1880</v>
      </c>
      <c r="H54" s="28" t="s">
        <v>1884</v>
      </c>
      <c r="I54" s="29" t="s">
        <v>16</v>
      </c>
      <c r="J54" s="30" t="s">
        <v>1886</v>
      </c>
      <c r="K54" s="30" t="s">
        <v>1887</v>
      </c>
      <c r="L54" s="30" t="s">
        <v>1889</v>
      </c>
      <c r="M54" s="30" t="s">
        <v>1890</v>
      </c>
      <c r="N54" s="30" t="s">
        <v>1891</v>
      </c>
      <c r="O54" s="31" t="s">
        <v>1892</v>
      </c>
      <c r="P54" s="29" t="s">
        <v>1893</v>
      </c>
      <c r="Q54" s="29" t="s">
        <v>1895</v>
      </c>
      <c r="R54" s="32" t="s">
        <v>1897</v>
      </c>
      <c r="S54" s="33" t="s">
        <v>1901</v>
      </c>
      <c r="T54" s="32" t="s">
        <v>1904</v>
      </c>
      <c r="U54" s="36" t="s">
        <v>1907</v>
      </c>
      <c r="V54" s="36" t="s">
        <v>1911</v>
      </c>
      <c r="W54" s="37" t="s">
        <v>1912</v>
      </c>
      <c r="X54" s="32" t="s">
        <v>1914</v>
      </c>
      <c r="Y54" s="33" t="s">
        <v>1918</v>
      </c>
    </row>
    <row r="55" ht="72.0" customHeight="1">
      <c r="A55" s="39"/>
      <c r="B55" s="25" t="s">
        <v>1874</v>
      </c>
      <c r="C55" s="25" t="s">
        <v>1919</v>
      </c>
      <c r="D55" s="26">
        <v>53.0</v>
      </c>
      <c r="E55" s="25" t="s">
        <v>1921</v>
      </c>
      <c r="F55" s="25" t="s">
        <v>1922</v>
      </c>
      <c r="G55" s="39"/>
      <c r="H55" s="39"/>
      <c r="I55" s="29" t="s">
        <v>16</v>
      </c>
      <c r="J55" s="30" t="s">
        <v>1924</v>
      </c>
      <c r="K55" s="30" t="s">
        <v>1925</v>
      </c>
      <c r="L55" s="30" t="s">
        <v>1926</v>
      </c>
      <c r="M55" s="30" t="s">
        <v>1928</v>
      </c>
      <c r="N55" s="30" t="s">
        <v>1929</v>
      </c>
      <c r="O55" s="31" t="s">
        <v>1931</v>
      </c>
      <c r="P55" s="29" t="s">
        <v>1933</v>
      </c>
      <c r="Q55" s="29" t="s">
        <v>1934</v>
      </c>
      <c r="R55" s="39"/>
      <c r="S55" s="33" t="s">
        <v>1936</v>
      </c>
      <c r="T55" s="39"/>
      <c r="U55" s="36" t="s">
        <v>1939</v>
      </c>
      <c r="V55" s="36" t="s">
        <v>1944</v>
      </c>
      <c r="W55" s="37" t="s">
        <v>1946</v>
      </c>
      <c r="X55" s="39"/>
      <c r="Y55" s="33" t="s">
        <v>1948</v>
      </c>
    </row>
    <row r="56" ht="81.0" customHeight="1">
      <c r="A56" s="39"/>
      <c r="B56" s="25" t="s">
        <v>1874</v>
      </c>
      <c r="C56" s="25" t="s">
        <v>1950</v>
      </c>
      <c r="D56" s="26">
        <v>54.0</v>
      </c>
      <c r="E56" s="25" t="s">
        <v>1951</v>
      </c>
      <c r="F56" s="25" t="s">
        <v>1952</v>
      </c>
      <c r="G56" s="39"/>
      <c r="H56" s="39"/>
      <c r="I56" s="29" t="s">
        <v>46</v>
      </c>
      <c r="J56" s="30" t="s">
        <v>1954</v>
      </c>
      <c r="K56" s="30" t="s">
        <v>1955</v>
      </c>
      <c r="L56" s="30" t="s">
        <v>1956</v>
      </c>
      <c r="M56" s="30" t="s">
        <v>1957</v>
      </c>
      <c r="N56" s="30" t="s">
        <v>1958</v>
      </c>
      <c r="O56" s="31" t="s">
        <v>1959</v>
      </c>
      <c r="P56" s="29" t="s">
        <v>1961</v>
      </c>
      <c r="Q56" s="29" t="s">
        <v>1962</v>
      </c>
      <c r="R56" s="39"/>
      <c r="S56" s="33" t="s">
        <v>1964</v>
      </c>
      <c r="T56" s="39"/>
      <c r="U56" s="36" t="s">
        <v>1967</v>
      </c>
      <c r="V56" s="36" t="s">
        <v>1970</v>
      </c>
      <c r="W56" s="37" t="s">
        <v>1972</v>
      </c>
      <c r="X56" s="39"/>
      <c r="Y56" s="33" t="s">
        <v>185</v>
      </c>
    </row>
    <row r="57" ht="130.5" customHeight="1">
      <c r="A57" s="21"/>
      <c r="B57" s="25" t="s">
        <v>1874</v>
      </c>
      <c r="C57" s="25" t="s">
        <v>1979</v>
      </c>
      <c r="D57" s="26">
        <v>55.0</v>
      </c>
      <c r="E57" s="25" t="s">
        <v>1981</v>
      </c>
      <c r="F57" s="25" t="s">
        <v>1983</v>
      </c>
      <c r="G57" s="21"/>
      <c r="H57" s="21"/>
      <c r="I57" s="29" t="s">
        <v>68</v>
      </c>
      <c r="J57" s="30" t="s">
        <v>1986</v>
      </c>
      <c r="K57" s="30" t="s">
        <v>1987</v>
      </c>
      <c r="L57" s="30" t="s">
        <v>1988</v>
      </c>
      <c r="M57" s="30" t="s">
        <v>1989</v>
      </c>
      <c r="N57" s="30" t="s">
        <v>1990</v>
      </c>
      <c r="O57" s="31" t="s">
        <v>1991</v>
      </c>
      <c r="P57" s="29" t="s">
        <v>1992</v>
      </c>
      <c r="Q57" s="29" t="s">
        <v>1993</v>
      </c>
      <c r="R57" s="21"/>
      <c r="S57" s="33" t="s">
        <v>1994</v>
      </c>
      <c r="T57" s="21"/>
      <c r="U57" s="36" t="s">
        <v>1997</v>
      </c>
      <c r="V57" s="36" t="s">
        <v>2001</v>
      </c>
      <c r="W57" s="37" t="s">
        <v>2003</v>
      </c>
      <c r="X57" s="21"/>
      <c r="Y57" s="33" t="s">
        <v>185</v>
      </c>
    </row>
    <row r="58" ht="129.0" customHeight="1">
      <c r="A58" s="23" t="s">
        <v>2006</v>
      </c>
      <c r="B58" s="25" t="s">
        <v>2011</v>
      </c>
      <c r="C58" s="25" t="s">
        <v>2012</v>
      </c>
      <c r="D58" s="26">
        <v>56.0</v>
      </c>
      <c r="E58" s="25" t="s">
        <v>2014</v>
      </c>
      <c r="F58" s="25" t="s">
        <v>2016</v>
      </c>
      <c r="G58" s="28" t="s">
        <v>2018</v>
      </c>
      <c r="H58" s="28" t="s">
        <v>2021</v>
      </c>
      <c r="I58" s="29" t="s">
        <v>16</v>
      </c>
      <c r="J58" s="30" t="s">
        <v>2023</v>
      </c>
      <c r="K58" s="30" t="s">
        <v>2024</v>
      </c>
      <c r="L58" s="30" t="s">
        <v>2026</v>
      </c>
      <c r="M58" s="30" t="s">
        <v>2028</v>
      </c>
      <c r="N58" s="30" t="s">
        <v>2029</v>
      </c>
      <c r="O58" s="31" t="s">
        <v>2031</v>
      </c>
      <c r="P58" s="29" t="s">
        <v>2032</v>
      </c>
      <c r="Q58" s="29" t="s">
        <v>2033</v>
      </c>
      <c r="R58" s="32" t="s">
        <v>2034</v>
      </c>
      <c r="S58" s="33" t="s">
        <v>2048</v>
      </c>
      <c r="T58" s="32" t="s">
        <v>2049</v>
      </c>
      <c r="U58" s="36" t="s">
        <v>2054</v>
      </c>
      <c r="V58" s="36" t="s">
        <v>2064</v>
      </c>
      <c r="W58" s="37" t="s">
        <v>2066</v>
      </c>
      <c r="X58" s="32" t="s">
        <v>2070</v>
      </c>
      <c r="Y58" s="33" t="s">
        <v>2071</v>
      </c>
    </row>
    <row r="59" ht="79.5" customHeight="1">
      <c r="A59" s="39"/>
      <c r="B59" s="25" t="s">
        <v>2011</v>
      </c>
      <c r="C59" s="25" t="s">
        <v>2012</v>
      </c>
      <c r="D59" s="26">
        <v>57.0</v>
      </c>
      <c r="E59" s="25" t="s">
        <v>2075</v>
      </c>
      <c r="F59" s="25" t="s">
        <v>2076</v>
      </c>
      <c r="G59" s="39"/>
      <c r="H59" s="39"/>
      <c r="I59" s="29" t="s">
        <v>46</v>
      </c>
      <c r="J59" s="30" t="s">
        <v>2077</v>
      </c>
      <c r="K59" s="30" t="s">
        <v>2078</v>
      </c>
      <c r="L59" s="30" t="s">
        <v>2079</v>
      </c>
      <c r="M59" s="30" t="s">
        <v>2081</v>
      </c>
      <c r="N59" s="30" t="s">
        <v>2082</v>
      </c>
      <c r="O59" s="31" t="s">
        <v>2083</v>
      </c>
      <c r="P59" s="29" t="s">
        <v>2084</v>
      </c>
      <c r="Q59" s="29" t="s">
        <v>2085</v>
      </c>
      <c r="R59" s="39"/>
      <c r="S59" s="33" t="s">
        <v>2086</v>
      </c>
      <c r="T59" s="39"/>
      <c r="U59" s="36" t="s">
        <v>2089</v>
      </c>
      <c r="V59" s="36" t="s">
        <v>2092</v>
      </c>
      <c r="W59" s="37" t="s">
        <v>2094</v>
      </c>
      <c r="X59" s="39"/>
      <c r="Y59" s="33" t="s">
        <v>2100</v>
      </c>
    </row>
    <row r="60" ht="78.0" customHeight="1">
      <c r="A60" s="21"/>
      <c r="B60" s="25" t="s">
        <v>2011</v>
      </c>
      <c r="C60" s="25" t="s">
        <v>2102</v>
      </c>
      <c r="D60" s="26">
        <v>58.0</v>
      </c>
      <c r="E60" s="25" t="s">
        <v>2104</v>
      </c>
      <c r="F60" s="25" t="s">
        <v>2105</v>
      </c>
      <c r="G60" s="21"/>
      <c r="H60" s="21"/>
      <c r="I60" s="29" t="s">
        <v>16</v>
      </c>
      <c r="J60" s="30" t="s">
        <v>2107</v>
      </c>
      <c r="K60" s="30" t="s">
        <v>2108</v>
      </c>
      <c r="L60" s="30" t="s">
        <v>2109</v>
      </c>
      <c r="M60" s="30" t="s">
        <v>2110</v>
      </c>
      <c r="N60" s="30" t="s">
        <v>2111</v>
      </c>
      <c r="O60" s="31" t="s">
        <v>2112</v>
      </c>
      <c r="P60" s="29" t="s">
        <v>2114</v>
      </c>
      <c r="Q60" s="29" t="s">
        <v>2116</v>
      </c>
      <c r="R60" s="21"/>
      <c r="S60" s="33" t="s">
        <v>2118</v>
      </c>
      <c r="T60" s="21"/>
      <c r="U60" s="36" t="s">
        <v>2120</v>
      </c>
      <c r="V60" s="36" t="s">
        <v>2121</v>
      </c>
      <c r="W60" s="37" t="s">
        <v>2122</v>
      </c>
      <c r="X60" s="21"/>
      <c r="Y60" s="33" t="s">
        <v>2125</v>
      </c>
    </row>
    <row r="61" ht="139.5" customHeight="1">
      <c r="A61" s="70" t="s">
        <v>2126</v>
      </c>
      <c r="B61" s="25" t="s">
        <v>2130</v>
      </c>
      <c r="C61" s="71" t="s">
        <v>2132</v>
      </c>
      <c r="D61" s="72">
        <v>59.0</v>
      </c>
      <c r="E61" s="49" t="s">
        <v>2140</v>
      </c>
      <c r="F61" s="49" t="s">
        <v>2141</v>
      </c>
      <c r="G61" s="25" t="s">
        <v>2143</v>
      </c>
      <c r="H61" s="25" t="s">
        <v>2144</v>
      </c>
      <c r="I61" s="52" t="s">
        <v>2145</v>
      </c>
      <c r="J61" s="53" t="s">
        <v>2146</v>
      </c>
      <c r="K61" s="53" t="s">
        <v>2147</v>
      </c>
      <c r="L61" s="53" t="s">
        <v>2149</v>
      </c>
      <c r="M61" s="53" t="s">
        <v>2151</v>
      </c>
      <c r="N61" s="53" t="s">
        <v>2152</v>
      </c>
      <c r="O61" s="54" t="s">
        <v>2153</v>
      </c>
      <c r="P61" s="52" t="s">
        <v>2156</v>
      </c>
      <c r="Q61" s="52" t="s">
        <v>2157</v>
      </c>
      <c r="R61" s="33" t="s">
        <v>2159</v>
      </c>
      <c r="S61" s="55" t="s">
        <v>2163</v>
      </c>
      <c r="T61" s="33" t="s">
        <v>2164</v>
      </c>
      <c r="U61" s="56" t="s">
        <v>2167</v>
      </c>
      <c r="V61" s="56" t="s">
        <v>2176</v>
      </c>
      <c r="W61" s="57" t="s">
        <v>2178</v>
      </c>
      <c r="X61" s="33" t="s">
        <v>2187</v>
      </c>
      <c r="Y61" s="33" t="s">
        <v>2189</v>
      </c>
    </row>
    <row r="62" ht="123.0" customHeight="1">
      <c r="A62" s="23" t="s">
        <v>2191</v>
      </c>
      <c r="B62" s="25" t="s">
        <v>2193</v>
      </c>
      <c r="C62" s="25" t="s">
        <v>2195</v>
      </c>
      <c r="D62" s="26">
        <v>60.0</v>
      </c>
      <c r="E62" s="25" t="s">
        <v>2197</v>
      </c>
      <c r="F62" s="25" t="s">
        <v>2199</v>
      </c>
      <c r="G62" s="28" t="s">
        <v>2201</v>
      </c>
      <c r="H62" s="28" t="s">
        <v>2204</v>
      </c>
      <c r="I62" s="29" t="s">
        <v>46</v>
      </c>
      <c r="J62" s="30" t="s">
        <v>2208</v>
      </c>
      <c r="K62" s="30" t="s">
        <v>2210</v>
      </c>
      <c r="L62" s="30" t="s">
        <v>2212</v>
      </c>
      <c r="M62" s="30" t="s">
        <v>2215</v>
      </c>
      <c r="N62" s="30" t="s">
        <v>2217</v>
      </c>
      <c r="O62" s="31" t="s">
        <v>2223</v>
      </c>
      <c r="P62" s="29" t="s">
        <v>2224</v>
      </c>
      <c r="Q62" s="29" t="s">
        <v>2225</v>
      </c>
      <c r="R62" s="32" t="s">
        <v>2226</v>
      </c>
      <c r="S62" s="33" t="s">
        <v>2230</v>
      </c>
      <c r="T62" s="32" t="s">
        <v>2231</v>
      </c>
      <c r="U62" s="36" t="s">
        <v>2236</v>
      </c>
      <c r="V62" s="36" t="s">
        <v>2242</v>
      </c>
      <c r="W62" s="37" t="s">
        <v>2245</v>
      </c>
      <c r="X62" s="32" t="s">
        <v>2250</v>
      </c>
      <c r="Y62" s="33" t="s">
        <v>2251</v>
      </c>
    </row>
    <row r="63" ht="70.5" customHeight="1">
      <c r="A63" s="39"/>
      <c r="B63" s="25" t="s">
        <v>2193</v>
      </c>
      <c r="C63" s="25" t="s">
        <v>2254</v>
      </c>
      <c r="D63" s="26">
        <v>61.0</v>
      </c>
      <c r="E63" s="40" t="s">
        <v>2255</v>
      </c>
      <c r="F63" s="40" t="s">
        <v>2256</v>
      </c>
      <c r="G63" s="39"/>
      <c r="H63" s="39"/>
      <c r="I63" s="29" t="s">
        <v>16</v>
      </c>
      <c r="J63" s="30" t="s">
        <v>2258</v>
      </c>
      <c r="K63" s="30" t="s">
        <v>2259</v>
      </c>
      <c r="L63" s="30" t="s">
        <v>2261</v>
      </c>
      <c r="M63" s="30" t="s">
        <v>2263</v>
      </c>
      <c r="N63" s="30" t="s">
        <v>2264</v>
      </c>
      <c r="O63" s="31" t="s">
        <v>2266</v>
      </c>
      <c r="P63" s="29" t="s">
        <v>2268</v>
      </c>
      <c r="Q63" s="29" t="s">
        <v>2269</v>
      </c>
      <c r="R63" s="39"/>
      <c r="S63" s="33" t="s">
        <v>2271</v>
      </c>
      <c r="T63" s="39"/>
      <c r="U63" s="36" t="s">
        <v>2273</v>
      </c>
      <c r="V63" s="36" t="s">
        <v>2275</v>
      </c>
      <c r="W63" s="37" t="s">
        <v>2277</v>
      </c>
      <c r="X63" s="39"/>
      <c r="Y63" s="33" t="s">
        <v>2280</v>
      </c>
    </row>
    <row r="64" ht="73.5" customHeight="1">
      <c r="A64" s="39"/>
      <c r="B64" s="25" t="s">
        <v>2193</v>
      </c>
      <c r="C64" s="25" t="s">
        <v>2282</v>
      </c>
      <c r="D64" s="26">
        <v>62.0</v>
      </c>
      <c r="E64" s="25" t="s">
        <v>2284</v>
      </c>
      <c r="F64" s="40" t="s">
        <v>2286</v>
      </c>
      <c r="G64" s="39"/>
      <c r="H64" s="39"/>
      <c r="I64" s="29" t="s">
        <v>16</v>
      </c>
      <c r="J64" s="30" t="s">
        <v>2289</v>
      </c>
      <c r="K64" s="30" t="s">
        <v>2290</v>
      </c>
      <c r="L64" s="30" t="s">
        <v>2291</v>
      </c>
      <c r="M64" s="30" t="s">
        <v>2292</v>
      </c>
      <c r="N64" s="30" t="s">
        <v>2294</v>
      </c>
      <c r="O64" s="31" t="s">
        <v>2296</v>
      </c>
      <c r="P64" s="29" t="s">
        <v>2297</v>
      </c>
      <c r="Q64" s="29" t="s">
        <v>2298</v>
      </c>
      <c r="R64" s="39"/>
      <c r="S64" s="33" t="s">
        <v>2299</v>
      </c>
      <c r="T64" s="39"/>
      <c r="U64" s="36" t="s">
        <v>2301</v>
      </c>
      <c r="V64" s="36" t="s">
        <v>2303</v>
      </c>
      <c r="W64" s="37" t="s">
        <v>2305</v>
      </c>
      <c r="X64" s="39"/>
      <c r="Y64" s="33" t="s">
        <v>2306</v>
      </c>
    </row>
    <row r="65" ht="70.5" customHeight="1">
      <c r="A65" s="39"/>
      <c r="B65" s="25" t="s">
        <v>2193</v>
      </c>
      <c r="C65" s="25" t="s">
        <v>2321</v>
      </c>
      <c r="D65" s="26">
        <v>63.0</v>
      </c>
      <c r="E65" s="25" t="s">
        <v>2323</v>
      </c>
      <c r="F65" s="40" t="s">
        <v>2324</v>
      </c>
      <c r="G65" s="39"/>
      <c r="H65" s="39"/>
      <c r="I65" s="29" t="s">
        <v>16</v>
      </c>
      <c r="J65" s="30" t="s">
        <v>2325</v>
      </c>
      <c r="K65" s="30" t="s">
        <v>2326</v>
      </c>
      <c r="L65" s="30" t="s">
        <v>2327</v>
      </c>
      <c r="M65" s="30" t="s">
        <v>2329</v>
      </c>
      <c r="N65" s="30" t="s">
        <v>2331</v>
      </c>
      <c r="O65" s="31" t="s">
        <v>2332</v>
      </c>
      <c r="P65" s="29" t="s">
        <v>2334</v>
      </c>
      <c r="Q65" s="29" t="s">
        <v>2335</v>
      </c>
      <c r="R65" s="39"/>
      <c r="S65" s="33" t="s">
        <v>2336</v>
      </c>
      <c r="T65" s="39"/>
      <c r="U65" s="36" t="s">
        <v>2339</v>
      </c>
      <c r="V65" s="36" t="s">
        <v>2342</v>
      </c>
      <c r="W65" s="37" t="s">
        <v>2344</v>
      </c>
      <c r="X65" s="39"/>
      <c r="Y65" s="33" t="s">
        <v>2346</v>
      </c>
    </row>
    <row r="66" ht="78.0" customHeight="1">
      <c r="A66" s="21"/>
      <c r="B66" s="25" t="s">
        <v>2193</v>
      </c>
      <c r="C66" s="25" t="s">
        <v>2321</v>
      </c>
      <c r="D66" s="26">
        <v>64.0</v>
      </c>
      <c r="E66" s="25" t="s">
        <v>2350</v>
      </c>
      <c r="F66" s="40" t="s">
        <v>2352</v>
      </c>
      <c r="G66" s="21"/>
      <c r="H66" s="21"/>
      <c r="I66" s="29" t="s">
        <v>46</v>
      </c>
      <c r="J66" s="30" t="s">
        <v>2354</v>
      </c>
      <c r="K66" s="30" t="s">
        <v>2355</v>
      </c>
      <c r="L66" s="30" t="s">
        <v>2357</v>
      </c>
      <c r="M66" s="30" t="s">
        <v>2358</v>
      </c>
      <c r="N66" s="30" t="s">
        <v>2359</v>
      </c>
      <c r="O66" s="31" t="s">
        <v>2360</v>
      </c>
      <c r="P66" s="29" t="s">
        <v>2361</v>
      </c>
      <c r="Q66" s="29" t="s">
        <v>2362</v>
      </c>
      <c r="R66" s="21"/>
      <c r="S66" s="33" t="s">
        <v>2363</v>
      </c>
      <c r="T66" s="21"/>
      <c r="U66" s="36" t="s">
        <v>2366</v>
      </c>
      <c r="V66" s="36" t="s">
        <v>2368</v>
      </c>
      <c r="W66" s="37" t="s">
        <v>2369</v>
      </c>
      <c r="X66" s="21"/>
      <c r="Y66" s="33" t="s">
        <v>2372</v>
      </c>
    </row>
    <row r="67" ht="15.75" customHeight="1">
      <c r="D67" s="73"/>
    </row>
    <row r="68" ht="15.75" customHeight="1">
      <c r="B68" s="74" t="s">
        <v>2377</v>
      </c>
      <c r="C68" s="75"/>
      <c r="D68" s="76"/>
      <c r="E68" s="77" t="s">
        <v>2386</v>
      </c>
    </row>
    <row r="69" ht="15.75" customHeight="1">
      <c r="C69" s="78"/>
      <c r="D69" s="79"/>
      <c r="E69" s="77" t="s">
        <v>2390</v>
      </c>
    </row>
    <row r="70" ht="15.75" customHeight="1">
      <c r="C70" s="80"/>
      <c r="D70" s="81"/>
      <c r="E70" s="77" t="s">
        <v>2392</v>
      </c>
    </row>
    <row r="71" ht="15.75" customHeight="1">
      <c r="C71" s="82"/>
      <c r="D71" s="83"/>
      <c r="E71" s="77" t="s">
        <v>2395</v>
      </c>
    </row>
    <row r="72" ht="15.75" customHeight="1">
      <c r="C72" s="84"/>
      <c r="D72" s="85"/>
      <c r="E72" s="77" t="s">
        <v>2398</v>
      </c>
    </row>
    <row r="73" ht="15.75" customHeight="1">
      <c r="C73" s="86"/>
      <c r="D73" s="87"/>
      <c r="E73" s="77" t="s">
        <v>129</v>
      </c>
    </row>
    <row r="74" ht="15.75" customHeight="1">
      <c r="C74" s="88"/>
      <c r="D74" s="89"/>
      <c r="E74" s="77" t="s">
        <v>2411</v>
      </c>
    </row>
    <row r="75" ht="15.75" customHeight="1">
      <c r="D75" s="73"/>
      <c r="E75" s="90" t="s">
        <v>2415</v>
      </c>
    </row>
    <row r="76" ht="15.75" customHeight="1">
      <c r="D76" s="73"/>
    </row>
    <row r="77" ht="15.75" customHeight="1">
      <c r="D77" s="73"/>
    </row>
    <row r="78" ht="15.75" customHeight="1">
      <c r="D78" s="73"/>
    </row>
    <row r="79" ht="15.75" customHeight="1">
      <c r="D79" s="73"/>
    </row>
    <row r="80" ht="15.75" customHeight="1">
      <c r="D80" s="73"/>
    </row>
    <row r="81" ht="15.75" customHeight="1">
      <c r="D81" s="73"/>
    </row>
    <row r="82" ht="15.75" customHeight="1">
      <c r="D82" s="73"/>
    </row>
    <row r="83" ht="15.75" customHeight="1">
      <c r="D83" s="73"/>
    </row>
    <row r="84" ht="15.75" customHeight="1">
      <c r="D84" s="73"/>
    </row>
    <row r="85" ht="15.75" customHeight="1">
      <c r="D85" s="73"/>
    </row>
    <row r="86" ht="15.75" customHeight="1">
      <c r="D86" s="73"/>
    </row>
    <row r="87" ht="15.75" customHeight="1">
      <c r="D87" s="73"/>
    </row>
    <row r="88" ht="15.75" customHeight="1">
      <c r="D88" s="73"/>
    </row>
    <row r="89" ht="15.75" customHeight="1">
      <c r="D89" s="73"/>
    </row>
    <row r="90" ht="15.75" customHeight="1">
      <c r="D90" s="73"/>
    </row>
    <row r="91" ht="15.75" customHeight="1">
      <c r="D91" s="73"/>
    </row>
    <row r="92" ht="15.75" customHeight="1">
      <c r="D92" s="73"/>
    </row>
    <row r="93" ht="15.75" customHeight="1">
      <c r="D93" s="73"/>
    </row>
    <row r="94" ht="15.75" customHeight="1">
      <c r="D94" s="73"/>
    </row>
    <row r="95" ht="15.75" customHeight="1">
      <c r="D95" s="73"/>
    </row>
    <row r="96" ht="15.75" customHeight="1">
      <c r="D96" s="73"/>
    </row>
    <row r="97" ht="15.75" customHeight="1">
      <c r="D97" s="73"/>
    </row>
    <row r="98" ht="15.75" customHeight="1">
      <c r="D98" s="73"/>
    </row>
    <row r="99" ht="15.75" customHeight="1">
      <c r="D99" s="73"/>
    </row>
    <row r="100" ht="15.75" customHeight="1">
      <c r="D100" s="73"/>
    </row>
    <row r="101" ht="15.75" customHeight="1">
      <c r="D101" s="73"/>
    </row>
    <row r="102" ht="15.75" customHeight="1">
      <c r="D102" s="73"/>
    </row>
    <row r="103" ht="15.75" customHeight="1">
      <c r="D103" s="73"/>
    </row>
    <row r="104" ht="15.75" customHeight="1">
      <c r="D104" s="73"/>
    </row>
    <row r="105" ht="15.75" customHeight="1">
      <c r="D105" s="73"/>
    </row>
    <row r="106" ht="15.75" customHeight="1">
      <c r="D106" s="73"/>
    </row>
    <row r="107" ht="15.75" customHeight="1">
      <c r="D107" s="73"/>
    </row>
    <row r="108" ht="15.75" customHeight="1">
      <c r="D108" s="73"/>
    </row>
    <row r="109" ht="15.75" customHeight="1">
      <c r="D109" s="73"/>
    </row>
    <row r="110" ht="15.75" customHeight="1">
      <c r="D110" s="73"/>
    </row>
    <row r="111" ht="15.75" customHeight="1">
      <c r="D111" s="73"/>
    </row>
    <row r="112" ht="15.75" customHeight="1">
      <c r="D112" s="73"/>
    </row>
    <row r="113" ht="15.75" customHeight="1">
      <c r="D113" s="73"/>
    </row>
    <row r="114" ht="15.75" customHeight="1">
      <c r="D114" s="73"/>
    </row>
    <row r="115" ht="15.75" customHeight="1">
      <c r="D115" s="73"/>
    </row>
    <row r="116" ht="15.75" customHeight="1">
      <c r="D116" s="73"/>
    </row>
    <row r="117" ht="15.75" customHeight="1">
      <c r="D117" s="73"/>
    </row>
    <row r="118" ht="15.75" customHeight="1">
      <c r="D118" s="73"/>
    </row>
    <row r="119" ht="15.75" customHeight="1">
      <c r="D119" s="73"/>
    </row>
    <row r="120" ht="15.75" customHeight="1">
      <c r="D120" s="73"/>
    </row>
    <row r="121" ht="15.75" customHeight="1">
      <c r="D121" s="73"/>
    </row>
    <row r="122" ht="15.75" customHeight="1">
      <c r="D122" s="73"/>
    </row>
    <row r="123" ht="15.75" customHeight="1">
      <c r="D123" s="73"/>
    </row>
    <row r="124" ht="15.75" customHeight="1">
      <c r="D124" s="73"/>
    </row>
    <row r="125" ht="15.75" customHeight="1">
      <c r="D125" s="73"/>
    </row>
    <row r="126" ht="15.75" customHeight="1">
      <c r="D126" s="73"/>
    </row>
    <row r="127" ht="15.75" customHeight="1">
      <c r="D127" s="73"/>
    </row>
    <row r="128" ht="15.75" customHeight="1">
      <c r="D128" s="73"/>
    </row>
    <row r="129" ht="15.75" customHeight="1">
      <c r="D129" s="73"/>
    </row>
    <row r="130" ht="15.75" customHeight="1">
      <c r="D130" s="73"/>
    </row>
    <row r="131" ht="15.75" customHeight="1">
      <c r="D131" s="73"/>
    </row>
    <row r="132" ht="15.75" customHeight="1">
      <c r="D132" s="73"/>
    </row>
    <row r="133" ht="15.75" customHeight="1">
      <c r="D133" s="73"/>
    </row>
    <row r="134" ht="15.75" customHeight="1">
      <c r="D134" s="73"/>
    </row>
    <row r="135" ht="15.75" customHeight="1">
      <c r="D135" s="73"/>
    </row>
    <row r="136" ht="15.75" customHeight="1">
      <c r="D136" s="73"/>
    </row>
    <row r="137" ht="15.75" customHeight="1">
      <c r="D137" s="73"/>
    </row>
    <row r="138" ht="15.75" customHeight="1">
      <c r="D138" s="73"/>
    </row>
    <row r="139" ht="15.75" customHeight="1">
      <c r="D139" s="73"/>
    </row>
    <row r="140" ht="15.75" customHeight="1">
      <c r="D140" s="73"/>
    </row>
    <row r="141" ht="15.75" customHeight="1">
      <c r="D141" s="73"/>
    </row>
    <row r="142" ht="15.75" customHeight="1">
      <c r="D142" s="73"/>
    </row>
    <row r="143" ht="15.75" customHeight="1">
      <c r="D143" s="73"/>
    </row>
    <row r="144" ht="15.75" customHeight="1">
      <c r="D144" s="73"/>
    </row>
    <row r="145" ht="15.75" customHeight="1">
      <c r="D145" s="73"/>
    </row>
    <row r="146" ht="15.75" customHeight="1">
      <c r="D146" s="73"/>
    </row>
    <row r="147" ht="15.75" customHeight="1">
      <c r="D147" s="73"/>
    </row>
    <row r="148" ht="15.75" customHeight="1">
      <c r="D148" s="73"/>
    </row>
    <row r="149" ht="15.75" customHeight="1">
      <c r="D149" s="73"/>
    </row>
    <row r="150" ht="15.75" customHeight="1">
      <c r="D150" s="73"/>
    </row>
    <row r="151" ht="15.75" customHeight="1">
      <c r="D151" s="73"/>
    </row>
    <row r="152" ht="15.75" customHeight="1">
      <c r="D152" s="73"/>
    </row>
    <row r="153" ht="15.75" customHeight="1">
      <c r="D153" s="73"/>
    </row>
    <row r="154" ht="15.75" customHeight="1">
      <c r="D154" s="73"/>
    </row>
    <row r="155" ht="15.75" customHeight="1">
      <c r="D155" s="73"/>
    </row>
    <row r="156" ht="15.75" customHeight="1">
      <c r="D156" s="73"/>
    </row>
    <row r="157" ht="15.75" customHeight="1">
      <c r="D157" s="73"/>
    </row>
    <row r="158" ht="15.75" customHeight="1">
      <c r="D158" s="73"/>
    </row>
    <row r="159" ht="15.75" customHeight="1">
      <c r="D159" s="73"/>
    </row>
    <row r="160" ht="15.75" customHeight="1">
      <c r="D160" s="73"/>
    </row>
    <row r="161" ht="15.75" customHeight="1">
      <c r="D161" s="73"/>
    </row>
    <row r="162" ht="15.75" customHeight="1">
      <c r="D162" s="73"/>
    </row>
    <row r="163" ht="15.75" customHeight="1">
      <c r="D163" s="73"/>
    </row>
    <row r="164" ht="15.75" customHeight="1">
      <c r="D164" s="73"/>
    </row>
    <row r="165" ht="15.75" customHeight="1">
      <c r="D165" s="73"/>
    </row>
    <row r="166" ht="15.75" customHeight="1">
      <c r="D166" s="73"/>
    </row>
    <row r="167" ht="15.75" customHeight="1">
      <c r="D167" s="73"/>
    </row>
    <row r="168" ht="15.75" customHeight="1">
      <c r="D168" s="73"/>
    </row>
    <row r="169" ht="15.75" customHeight="1">
      <c r="D169" s="73"/>
    </row>
    <row r="170" ht="15.75" customHeight="1">
      <c r="D170" s="73"/>
    </row>
    <row r="171" ht="15.75" customHeight="1">
      <c r="D171" s="73"/>
    </row>
    <row r="172" ht="15.75" customHeight="1">
      <c r="D172" s="73"/>
    </row>
    <row r="173" ht="15.75" customHeight="1">
      <c r="D173" s="73"/>
    </row>
    <row r="174" ht="15.75" customHeight="1">
      <c r="D174" s="73"/>
    </row>
    <row r="175" ht="15.75" customHeight="1">
      <c r="D175" s="73"/>
    </row>
    <row r="176" ht="15.75" customHeight="1">
      <c r="D176" s="73"/>
    </row>
    <row r="177" ht="15.75" customHeight="1">
      <c r="D177" s="73"/>
    </row>
    <row r="178" ht="15.75" customHeight="1">
      <c r="D178" s="73"/>
    </row>
    <row r="179" ht="15.75" customHeight="1">
      <c r="D179" s="73"/>
    </row>
    <row r="180" ht="15.75" customHeight="1">
      <c r="D180" s="73"/>
    </row>
    <row r="181" ht="15.75" customHeight="1">
      <c r="D181" s="73"/>
    </row>
    <row r="182" ht="15.75" customHeight="1">
      <c r="D182" s="73"/>
    </row>
    <row r="183" ht="15.75" customHeight="1">
      <c r="D183" s="73"/>
    </row>
    <row r="184" ht="15.75" customHeight="1">
      <c r="D184" s="73"/>
    </row>
    <row r="185" ht="15.75" customHeight="1">
      <c r="D185" s="73"/>
    </row>
    <row r="186" ht="15.75" customHeight="1">
      <c r="D186" s="73"/>
    </row>
    <row r="187" ht="15.75" customHeight="1">
      <c r="D187" s="73"/>
    </row>
    <row r="188" ht="15.75" customHeight="1">
      <c r="D188" s="73"/>
    </row>
    <row r="189" ht="15.75" customHeight="1">
      <c r="D189" s="73"/>
    </row>
    <row r="190" ht="15.75" customHeight="1">
      <c r="D190" s="73"/>
    </row>
    <row r="191" ht="15.75" customHeight="1">
      <c r="D191" s="73"/>
    </row>
    <row r="192" ht="15.75" customHeight="1">
      <c r="D192" s="73"/>
    </row>
    <row r="193" ht="15.75" customHeight="1">
      <c r="D193" s="73"/>
    </row>
    <row r="194" ht="15.75" customHeight="1">
      <c r="D194" s="73"/>
    </row>
    <row r="195" ht="15.75" customHeight="1">
      <c r="D195" s="73"/>
    </row>
    <row r="196" ht="15.75" customHeight="1">
      <c r="D196" s="73"/>
    </row>
    <row r="197" ht="15.75" customHeight="1">
      <c r="D197" s="73"/>
    </row>
    <row r="198" ht="15.75" customHeight="1">
      <c r="D198" s="73"/>
    </row>
    <row r="199" ht="15.75" customHeight="1">
      <c r="D199" s="73"/>
    </row>
    <row r="200" ht="15.75" customHeight="1">
      <c r="D200" s="73"/>
    </row>
    <row r="201" ht="15.75" customHeight="1">
      <c r="D201" s="73"/>
    </row>
    <row r="202" ht="15.75" customHeight="1">
      <c r="D202" s="73"/>
    </row>
    <row r="203" ht="15.75" customHeight="1">
      <c r="D203" s="73"/>
    </row>
    <row r="204" ht="15.75" customHeight="1">
      <c r="D204" s="73"/>
    </row>
    <row r="205" ht="15.75" customHeight="1">
      <c r="D205" s="73"/>
    </row>
    <row r="206" ht="15.75" customHeight="1">
      <c r="D206" s="73"/>
    </row>
    <row r="207" ht="15.75" customHeight="1">
      <c r="D207" s="73"/>
    </row>
    <row r="208" ht="15.75" customHeight="1">
      <c r="D208" s="73"/>
    </row>
    <row r="209" ht="15.75" customHeight="1">
      <c r="D209" s="73"/>
    </row>
    <row r="210" ht="15.75" customHeight="1">
      <c r="D210" s="73"/>
    </row>
    <row r="211" ht="15.75" customHeight="1">
      <c r="D211" s="73"/>
    </row>
    <row r="212" ht="15.75" customHeight="1">
      <c r="D212" s="73"/>
    </row>
    <row r="213" ht="15.75" customHeight="1">
      <c r="D213" s="73"/>
    </row>
    <row r="214" ht="15.75" customHeight="1">
      <c r="D214" s="73"/>
    </row>
    <row r="215" ht="15.75" customHeight="1">
      <c r="D215" s="73"/>
    </row>
    <row r="216" ht="15.75" customHeight="1">
      <c r="D216" s="73"/>
    </row>
    <row r="217" ht="15.75" customHeight="1">
      <c r="D217" s="73"/>
    </row>
    <row r="218" ht="15.75" customHeight="1">
      <c r="D218" s="73"/>
    </row>
    <row r="219" ht="15.75" customHeight="1">
      <c r="D219" s="73"/>
    </row>
    <row r="220" ht="15.75" customHeight="1">
      <c r="D220" s="73"/>
    </row>
    <row r="221" ht="15.75" customHeight="1">
      <c r="D221" s="73"/>
    </row>
    <row r="222" ht="15.75" customHeight="1">
      <c r="D222" s="73"/>
    </row>
    <row r="223" ht="15.75" customHeight="1">
      <c r="D223" s="73"/>
    </row>
    <row r="224" ht="15.75" customHeight="1">
      <c r="D224" s="73"/>
    </row>
    <row r="225" ht="15.75" customHeight="1">
      <c r="D225" s="73"/>
    </row>
    <row r="226" ht="15.75" customHeight="1">
      <c r="D226" s="73"/>
    </row>
    <row r="227" ht="15.75" customHeight="1">
      <c r="D227" s="73"/>
    </row>
    <row r="228" ht="15.75" customHeight="1">
      <c r="D228" s="73"/>
    </row>
    <row r="229" ht="15.75" customHeight="1">
      <c r="D229" s="73"/>
    </row>
    <row r="230" ht="15.75" customHeight="1">
      <c r="D230" s="73"/>
    </row>
    <row r="231" ht="15.75" customHeight="1">
      <c r="D231" s="73"/>
    </row>
    <row r="232" ht="15.75" customHeight="1">
      <c r="D232" s="73"/>
    </row>
    <row r="233" ht="15.75" customHeight="1">
      <c r="D233" s="73"/>
    </row>
    <row r="234" ht="15.75" customHeight="1">
      <c r="D234" s="73"/>
    </row>
    <row r="235" ht="15.75" customHeight="1">
      <c r="D235" s="73"/>
    </row>
    <row r="236" ht="15.75" customHeight="1">
      <c r="D236" s="73"/>
    </row>
    <row r="237" ht="15.75" customHeight="1">
      <c r="D237" s="73"/>
    </row>
    <row r="238" ht="15.75" customHeight="1">
      <c r="D238" s="73"/>
    </row>
    <row r="239" ht="15.75" customHeight="1">
      <c r="D239" s="73"/>
    </row>
    <row r="240" ht="15.75" customHeight="1">
      <c r="D240" s="73"/>
    </row>
    <row r="241" ht="15.75" customHeight="1">
      <c r="D241" s="73"/>
    </row>
    <row r="242" ht="15.75" customHeight="1">
      <c r="D242" s="73"/>
    </row>
    <row r="243" ht="15.75" customHeight="1">
      <c r="D243" s="73"/>
    </row>
    <row r="244" ht="15.75" customHeight="1">
      <c r="D244" s="73"/>
    </row>
    <row r="245" ht="15.75" customHeight="1">
      <c r="D245" s="73"/>
    </row>
    <row r="246" ht="15.75" customHeight="1">
      <c r="D246" s="73"/>
    </row>
    <row r="247" ht="15.75" customHeight="1">
      <c r="D247" s="73"/>
    </row>
    <row r="248" ht="15.75" customHeight="1">
      <c r="D248" s="73"/>
    </row>
    <row r="249" ht="15.75" customHeight="1">
      <c r="D249" s="73"/>
    </row>
    <row r="250" ht="15.75" customHeight="1">
      <c r="D250" s="73"/>
    </row>
    <row r="251" ht="15.75" customHeight="1">
      <c r="D251" s="73"/>
    </row>
    <row r="252" ht="15.75" customHeight="1">
      <c r="D252" s="73"/>
    </row>
    <row r="253" ht="15.75" customHeight="1">
      <c r="D253" s="73"/>
    </row>
    <row r="254" ht="15.75" customHeight="1">
      <c r="D254" s="73"/>
    </row>
    <row r="255" ht="15.75" customHeight="1">
      <c r="D255" s="73"/>
    </row>
    <row r="256" ht="15.75" customHeight="1">
      <c r="D256" s="73"/>
    </row>
    <row r="257" ht="15.75" customHeight="1">
      <c r="D257" s="73"/>
    </row>
    <row r="258" ht="15.75" customHeight="1">
      <c r="D258" s="73"/>
    </row>
    <row r="259" ht="15.75" customHeight="1">
      <c r="D259" s="73"/>
    </row>
    <row r="260" ht="15.75" customHeight="1">
      <c r="D260" s="73"/>
    </row>
    <row r="261" ht="15.75" customHeight="1">
      <c r="D261" s="73"/>
    </row>
    <row r="262" ht="15.75" customHeight="1">
      <c r="D262" s="73"/>
    </row>
    <row r="263" ht="15.75" customHeight="1">
      <c r="D263" s="73"/>
    </row>
    <row r="264" ht="15.75" customHeight="1">
      <c r="D264" s="73"/>
    </row>
    <row r="265" ht="15.75" customHeight="1">
      <c r="D265" s="73"/>
    </row>
    <row r="266" ht="15.75" customHeight="1">
      <c r="D266" s="73"/>
    </row>
    <row r="267" ht="15.75" customHeight="1">
      <c r="D267" s="73"/>
    </row>
    <row r="268" ht="15.75" customHeight="1">
      <c r="D268" s="73"/>
    </row>
    <row r="269" ht="15.75" customHeight="1">
      <c r="D269" s="73"/>
    </row>
    <row r="270" ht="15.75" customHeight="1">
      <c r="D270" s="73"/>
    </row>
    <row r="271" ht="15.75" customHeight="1">
      <c r="D271" s="73"/>
    </row>
    <row r="272" ht="15.75" customHeight="1">
      <c r="D272" s="73"/>
    </row>
    <row r="273" ht="15.75" customHeight="1">
      <c r="D273" s="73"/>
    </row>
    <row r="274" ht="15.75" customHeight="1">
      <c r="D274" s="73"/>
    </row>
    <row r="275" ht="15.75" customHeight="1">
      <c r="D275" s="73"/>
    </row>
    <row r="276" ht="15.75" customHeight="1">
      <c r="D276" s="73"/>
    </row>
    <row r="277" ht="15.75" customHeight="1">
      <c r="D277" s="73"/>
    </row>
    <row r="278" ht="15.75" customHeight="1">
      <c r="D278" s="73"/>
    </row>
    <row r="279" ht="15.75" customHeight="1">
      <c r="D279" s="73"/>
    </row>
    <row r="280" ht="15.75" customHeight="1">
      <c r="D280" s="73"/>
    </row>
    <row r="281" ht="15.75" customHeight="1">
      <c r="D281" s="73"/>
    </row>
    <row r="282" ht="15.75" customHeight="1">
      <c r="D282" s="73"/>
    </row>
    <row r="283" ht="15.75" customHeight="1">
      <c r="D283" s="73"/>
    </row>
    <row r="284" ht="15.75" customHeight="1">
      <c r="D284" s="73"/>
    </row>
    <row r="285" ht="15.75" customHeight="1">
      <c r="D285" s="73"/>
    </row>
    <row r="286" ht="15.75" customHeight="1">
      <c r="D286" s="73"/>
    </row>
    <row r="287" ht="15.75" customHeight="1">
      <c r="D287" s="73"/>
    </row>
    <row r="288" ht="15.75" customHeight="1">
      <c r="D288" s="73"/>
    </row>
    <row r="289" ht="15.75" customHeight="1">
      <c r="D289" s="73"/>
    </row>
    <row r="290" ht="15.75" customHeight="1">
      <c r="D290" s="73"/>
    </row>
    <row r="291" ht="15.75" customHeight="1">
      <c r="D291" s="73"/>
    </row>
    <row r="292" ht="15.75" customHeight="1">
      <c r="D292" s="73"/>
    </row>
    <row r="293" ht="15.75" customHeight="1">
      <c r="D293" s="73"/>
    </row>
    <row r="294" ht="15.75" customHeight="1">
      <c r="D294" s="73"/>
    </row>
    <row r="295" ht="15.75" customHeight="1">
      <c r="D295" s="73"/>
    </row>
    <row r="296" ht="15.75" customHeight="1">
      <c r="D296" s="73"/>
    </row>
    <row r="297" ht="15.75" customHeight="1">
      <c r="D297" s="73"/>
    </row>
    <row r="298" ht="15.75" customHeight="1">
      <c r="D298" s="73"/>
    </row>
    <row r="299" ht="15.75" customHeight="1">
      <c r="D299" s="73"/>
    </row>
    <row r="300" ht="15.75" customHeight="1">
      <c r="D300" s="73"/>
    </row>
    <row r="301" ht="15.75" customHeight="1">
      <c r="D301" s="73"/>
    </row>
    <row r="302" ht="15.75" customHeight="1">
      <c r="D302" s="73"/>
    </row>
    <row r="303" ht="15.75" customHeight="1">
      <c r="D303" s="73"/>
    </row>
    <row r="304" ht="15.75" customHeight="1">
      <c r="D304" s="73"/>
    </row>
    <row r="305" ht="15.75" customHeight="1">
      <c r="D305" s="73"/>
    </row>
    <row r="306" ht="15.75" customHeight="1">
      <c r="D306" s="73"/>
    </row>
    <row r="307" ht="15.75" customHeight="1">
      <c r="D307" s="73"/>
    </row>
    <row r="308" ht="15.75" customHeight="1">
      <c r="D308" s="73"/>
    </row>
    <row r="309" ht="15.75" customHeight="1">
      <c r="D309" s="73"/>
    </row>
    <row r="310" ht="15.75" customHeight="1">
      <c r="D310" s="73"/>
    </row>
    <row r="311" ht="15.75" customHeight="1">
      <c r="D311" s="73"/>
    </row>
    <row r="312" ht="15.75" customHeight="1">
      <c r="D312" s="73"/>
    </row>
    <row r="313" ht="15.75" customHeight="1">
      <c r="D313" s="73"/>
    </row>
    <row r="314" ht="15.75" customHeight="1">
      <c r="D314" s="73"/>
    </row>
    <row r="315" ht="15.75" customHeight="1">
      <c r="D315" s="73"/>
    </row>
    <row r="316" ht="15.75" customHeight="1">
      <c r="D316" s="73"/>
    </row>
    <row r="317" ht="15.75" customHeight="1">
      <c r="D317" s="73"/>
    </row>
    <row r="318" ht="15.75" customHeight="1">
      <c r="D318" s="73"/>
    </row>
    <row r="319" ht="15.75" customHeight="1">
      <c r="D319" s="73"/>
    </row>
    <row r="320" ht="15.75" customHeight="1">
      <c r="D320" s="73"/>
    </row>
    <row r="321" ht="15.75" customHeight="1">
      <c r="D321" s="73"/>
    </row>
    <row r="322" ht="15.75" customHeight="1">
      <c r="D322" s="73"/>
    </row>
    <row r="323" ht="15.75" customHeight="1">
      <c r="D323" s="73"/>
    </row>
    <row r="324" ht="15.75" customHeight="1">
      <c r="D324" s="73"/>
    </row>
    <row r="325" ht="15.75" customHeight="1">
      <c r="D325" s="73"/>
    </row>
    <row r="326" ht="15.75" customHeight="1">
      <c r="D326" s="73"/>
    </row>
    <row r="327" ht="15.75" customHeight="1">
      <c r="D327" s="73"/>
    </row>
    <row r="328" ht="15.75" customHeight="1">
      <c r="D328" s="73"/>
    </row>
    <row r="329" ht="15.75" customHeight="1">
      <c r="D329" s="73"/>
    </row>
    <row r="330" ht="15.75" customHeight="1">
      <c r="D330" s="73"/>
    </row>
    <row r="331" ht="15.75" customHeight="1">
      <c r="D331" s="73"/>
    </row>
    <row r="332" ht="15.75" customHeight="1">
      <c r="D332" s="73"/>
    </row>
    <row r="333" ht="15.75" customHeight="1">
      <c r="D333" s="73"/>
    </row>
    <row r="334" ht="15.75" customHeight="1">
      <c r="D334" s="73"/>
    </row>
    <row r="335" ht="15.75" customHeight="1">
      <c r="D335" s="73"/>
    </row>
    <row r="336" ht="15.75" customHeight="1">
      <c r="D336" s="73"/>
    </row>
    <row r="337" ht="15.75" customHeight="1">
      <c r="D337" s="73"/>
    </row>
    <row r="338" ht="15.75" customHeight="1">
      <c r="D338" s="73"/>
    </row>
    <row r="339" ht="15.75" customHeight="1">
      <c r="D339" s="73"/>
    </row>
    <row r="340" ht="15.75" customHeight="1">
      <c r="D340" s="73"/>
    </row>
    <row r="341" ht="15.75" customHeight="1">
      <c r="D341" s="73"/>
    </row>
    <row r="342" ht="15.75" customHeight="1">
      <c r="D342" s="73"/>
    </row>
    <row r="343" ht="15.75" customHeight="1">
      <c r="D343" s="73"/>
    </row>
    <row r="344" ht="15.75" customHeight="1">
      <c r="D344" s="73"/>
    </row>
    <row r="345" ht="15.75" customHeight="1">
      <c r="D345" s="73"/>
    </row>
    <row r="346" ht="15.75" customHeight="1">
      <c r="D346" s="73"/>
    </row>
    <row r="347" ht="15.75" customHeight="1">
      <c r="D347" s="73"/>
    </row>
    <row r="348" ht="15.75" customHeight="1">
      <c r="D348" s="73"/>
    </row>
    <row r="349" ht="15.75" customHeight="1">
      <c r="D349" s="73"/>
    </row>
    <row r="350" ht="15.75" customHeight="1">
      <c r="D350" s="73"/>
    </row>
    <row r="351" ht="15.75" customHeight="1">
      <c r="D351" s="73"/>
    </row>
    <row r="352" ht="15.75" customHeight="1">
      <c r="D352" s="73"/>
    </row>
    <row r="353" ht="15.75" customHeight="1">
      <c r="D353" s="73"/>
    </row>
    <row r="354" ht="15.75" customHeight="1">
      <c r="D354" s="73"/>
    </row>
    <row r="355" ht="15.75" customHeight="1">
      <c r="D355" s="73"/>
    </row>
    <row r="356" ht="15.75" customHeight="1">
      <c r="D356" s="73"/>
    </row>
    <row r="357" ht="15.75" customHeight="1">
      <c r="D357" s="73"/>
    </row>
    <row r="358" ht="15.75" customHeight="1">
      <c r="D358" s="73"/>
    </row>
    <row r="359" ht="15.75" customHeight="1">
      <c r="D359" s="73"/>
    </row>
    <row r="360" ht="15.75" customHeight="1">
      <c r="D360" s="73"/>
    </row>
    <row r="361" ht="15.75" customHeight="1">
      <c r="D361" s="73"/>
    </row>
    <row r="362" ht="15.75" customHeight="1">
      <c r="D362" s="73"/>
    </row>
    <row r="363" ht="15.75" customHeight="1">
      <c r="D363" s="73"/>
    </row>
    <row r="364" ht="15.75" customHeight="1">
      <c r="D364" s="73"/>
    </row>
    <row r="365" ht="15.75" customHeight="1">
      <c r="D365" s="73"/>
    </row>
    <row r="366" ht="15.75" customHeight="1">
      <c r="D366" s="73"/>
    </row>
    <row r="367" ht="15.75" customHeight="1">
      <c r="D367" s="73"/>
    </row>
    <row r="368" ht="15.75" customHeight="1">
      <c r="D368" s="73"/>
    </row>
    <row r="369" ht="15.75" customHeight="1">
      <c r="D369" s="73"/>
    </row>
    <row r="370" ht="15.75" customHeight="1">
      <c r="D370" s="73"/>
    </row>
    <row r="371" ht="15.75" customHeight="1">
      <c r="D371" s="73"/>
    </row>
    <row r="372" ht="15.75" customHeight="1">
      <c r="D372" s="73"/>
    </row>
    <row r="373" ht="15.75" customHeight="1">
      <c r="D373" s="73"/>
    </row>
    <row r="374" ht="15.75" customHeight="1">
      <c r="D374" s="73"/>
    </row>
    <row r="375" ht="15.75" customHeight="1">
      <c r="D375" s="73"/>
    </row>
    <row r="376" ht="15.75" customHeight="1">
      <c r="D376" s="73"/>
    </row>
    <row r="377" ht="15.75" customHeight="1">
      <c r="D377" s="73"/>
    </row>
    <row r="378" ht="15.75" customHeight="1">
      <c r="D378" s="73"/>
    </row>
    <row r="379" ht="15.75" customHeight="1">
      <c r="D379" s="73"/>
    </row>
    <row r="380" ht="15.75" customHeight="1">
      <c r="D380" s="73"/>
    </row>
    <row r="381" ht="15.75" customHeight="1">
      <c r="D381" s="73"/>
    </row>
    <row r="382" ht="15.75" customHeight="1">
      <c r="D382" s="73"/>
    </row>
    <row r="383" ht="15.75" customHeight="1">
      <c r="D383" s="73"/>
    </row>
    <row r="384" ht="15.75" customHeight="1">
      <c r="D384" s="73"/>
    </row>
    <row r="385" ht="15.75" customHeight="1">
      <c r="D385" s="73"/>
    </row>
    <row r="386" ht="15.75" customHeight="1">
      <c r="D386" s="73"/>
    </row>
    <row r="387" ht="15.75" customHeight="1">
      <c r="D387" s="73"/>
    </row>
    <row r="388" ht="15.75" customHeight="1">
      <c r="D388" s="73"/>
    </row>
    <row r="389" ht="15.75" customHeight="1">
      <c r="D389" s="73"/>
    </row>
    <row r="390" ht="15.75" customHeight="1">
      <c r="D390" s="73"/>
    </row>
    <row r="391" ht="15.75" customHeight="1">
      <c r="D391" s="73"/>
    </row>
    <row r="392" ht="15.75" customHeight="1">
      <c r="D392" s="73"/>
    </row>
    <row r="393" ht="15.75" customHeight="1">
      <c r="D393" s="73"/>
    </row>
    <row r="394" ht="15.75" customHeight="1">
      <c r="D394" s="73"/>
    </row>
    <row r="395" ht="15.75" customHeight="1">
      <c r="D395" s="73"/>
    </row>
    <row r="396" ht="15.75" customHeight="1">
      <c r="D396" s="73"/>
    </row>
    <row r="397" ht="15.75" customHeight="1">
      <c r="D397" s="73"/>
    </row>
    <row r="398" ht="15.75" customHeight="1">
      <c r="D398" s="73"/>
    </row>
    <row r="399" ht="15.75" customHeight="1">
      <c r="D399" s="73"/>
    </row>
    <row r="400" ht="15.75" customHeight="1">
      <c r="D400" s="73"/>
    </row>
    <row r="401" ht="15.75" customHeight="1">
      <c r="D401" s="73"/>
    </row>
    <row r="402" ht="15.75" customHeight="1">
      <c r="D402" s="73"/>
    </row>
    <row r="403" ht="15.75" customHeight="1">
      <c r="D403" s="73"/>
    </row>
    <row r="404" ht="15.75" customHeight="1">
      <c r="D404" s="73"/>
    </row>
    <row r="405" ht="15.75" customHeight="1">
      <c r="D405" s="73"/>
    </row>
    <row r="406" ht="15.75" customHeight="1">
      <c r="D406" s="73"/>
    </row>
    <row r="407" ht="15.75" customHeight="1">
      <c r="D407" s="73"/>
    </row>
    <row r="408" ht="15.75" customHeight="1">
      <c r="D408" s="73"/>
    </row>
    <row r="409" ht="15.75" customHeight="1">
      <c r="D409" s="73"/>
    </row>
    <row r="410" ht="15.75" customHeight="1">
      <c r="D410" s="73"/>
    </row>
    <row r="411" ht="15.75" customHeight="1">
      <c r="D411" s="73"/>
    </row>
    <row r="412" ht="15.75" customHeight="1">
      <c r="D412" s="73"/>
    </row>
    <row r="413" ht="15.75" customHeight="1">
      <c r="D413" s="73"/>
    </row>
    <row r="414" ht="15.75" customHeight="1">
      <c r="D414" s="73"/>
    </row>
    <row r="415" ht="15.75" customHeight="1">
      <c r="D415" s="73"/>
    </row>
    <row r="416" ht="15.75" customHeight="1">
      <c r="D416" s="73"/>
    </row>
    <row r="417" ht="15.75" customHeight="1">
      <c r="D417" s="73"/>
    </row>
    <row r="418" ht="15.75" customHeight="1">
      <c r="D418" s="73"/>
    </row>
    <row r="419" ht="15.75" customHeight="1">
      <c r="D419" s="73"/>
    </row>
    <row r="420" ht="15.75" customHeight="1">
      <c r="D420" s="73"/>
    </row>
    <row r="421" ht="15.75" customHeight="1">
      <c r="D421" s="73"/>
    </row>
    <row r="422" ht="15.75" customHeight="1">
      <c r="D422" s="73"/>
    </row>
    <row r="423" ht="15.75" customHeight="1">
      <c r="D423" s="73"/>
    </row>
    <row r="424" ht="15.75" customHeight="1">
      <c r="D424" s="73"/>
    </row>
    <row r="425" ht="15.75" customHeight="1">
      <c r="D425" s="73"/>
    </row>
    <row r="426" ht="15.75" customHeight="1">
      <c r="D426" s="73"/>
    </row>
    <row r="427" ht="15.75" customHeight="1">
      <c r="D427" s="73"/>
    </row>
    <row r="428" ht="15.75" customHeight="1">
      <c r="D428" s="73"/>
    </row>
    <row r="429" ht="15.75" customHeight="1">
      <c r="D429" s="73"/>
    </row>
    <row r="430" ht="15.75" customHeight="1">
      <c r="D430" s="73"/>
    </row>
    <row r="431" ht="15.75" customHeight="1">
      <c r="D431" s="73"/>
    </row>
    <row r="432" ht="15.75" customHeight="1">
      <c r="D432" s="73"/>
    </row>
    <row r="433" ht="15.75" customHeight="1">
      <c r="D433" s="73"/>
    </row>
    <row r="434" ht="15.75" customHeight="1">
      <c r="D434" s="73"/>
    </row>
    <row r="435" ht="15.75" customHeight="1">
      <c r="D435" s="73"/>
    </row>
    <row r="436" ht="15.75" customHeight="1">
      <c r="D436" s="73"/>
    </row>
    <row r="437" ht="15.75" customHeight="1">
      <c r="D437" s="73"/>
    </row>
    <row r="438" ht="15.75" customHeight="1">
      <c r="D438" s="73"/>
    </row>
    <row r="439" ht="15.75" customHeight="1">
      <c r="D439" s="73"/>
    </row>
    <row r="440" ht="15.75" customHeight="1">
      <c r="D440" s="73"/>
    </row>
    <row r="441" ht="15.75" customHeight="1">
      <c r="D441" s="73"/>
    </row>
    <row r="442" ht="15.75" customHeight="1">
      <c r="D442" s="73"/>
    </row>
    <row r="443" ht="15.75" customHeight="1">
      <c r="D443" s="73"/>
    </row>
    <row r="444" ht="15.75" customHeight="1">
      <c r="D444" s="73"/>
    </row>
    <row r="445" ht="15.75" customHeight="1">
      <c r="D445" s="73"/>
    </row>
    <row r="446" ht="15.75" customHeight="1">
      <c r="D446" s="73"/>
    </row>
    <row r="447" ht="15.75" customHeight="1">
      <c r="D447" s="73"/>
    </row>
    <row r="448" ht="15.75" customHeight="1">
      <c r="D448" s="73"/>
    </row>
    <row r="449" ht="15.75" customHeight="1">
      <c r="D449" s="73"/>
    </row>
    <row r="450" ht="15.75" customHeight="1">
      <c r="D450" s="73"/>
    </row>
    <row r="451" ht="15.75" customHeight="1">
      <c r="D451" s="73"/>
    </row>
    <row r="452" ht="15.75" customHeight="1">
      <c r="D452" s="73"/>
    </row>
    <row r="453" ht="15.75" customHeight="1">
      <c r="D453" s="73"/>
    </row>
    <row r="454" ht="15.75" customHeight="1">
      <c r="D454" s="73"/>
    </row>
    <row r="455" ht="15.75" customHeight="1">
      <c r="D455" s="73"/>
    </row>
    <row r="456" ht="15.75" customHeight="1">
      <c r="D456" s="73"/>
    </row>
    <row r="457" ht="15.75" customHeight="1">
      <c r="D457" s="73"/>
    </row>
    <row r="458" ht="15.75" customHeight="1">
      <c r="D458" s="73"/>
    </row>
    <row r="459" ht="15.75" customHeight="1">
      <c r="D459" s="73"/>
    </row>
    <row r="460" ht="15.75" customHeight="1">
      <c r="D460" s="73"/>
    </row>
    <row r="461" ht="15.75" customHeight="1">
      <c r="D461" s="73"/>
    </row>
    <row r="462" ht="15.75" customHeight="1">
      <c r="D462" s="73"/>
    </row>
    <row r="463" ht="15.75" customHeight="1">
      <c r="D463" s="73"/>
    </row>
    <row r="464" ht="15.75" customHeight="1">
      <c r="D464" s="73"/>
    </row>
    <row r="465" ht="15.75" customHeight="1">
      <c r="D465" s="73"/>
    </row>
    <row r="466" ht="15.75" customHeight="1">
      <c r="D466" s="73"/>
    </row>
    <row r="467" ht="15.75" customHeight="1">
      <c r="D467" s="73"/>
    </row>
    <row r="468" ht="15.75" customHeight="1">
      <c r="D468" s="73"/>
    </row>
    <row r="469" ht="15.75" customHeight="1">
      <c r="D469" s="73"/>
    </row>
    <row r="470" ht="15.75" customHeight="1">
      <c r="D470" s="73"/>
    </row>
    <row r="471" ht="15.75" customHeight="1">
      <c r="D471" s="73"/>
    </row>
    <row r="472" ht="15.75" customHeight="1">
      <c r="D472" s="73"/>
    </row>
    <row r="473" ht="15.75" customHeight="1">
      <c r="D473" s="73"/>
    </row>
    <row r="474" ht="15.75" customHeight="1">
      <c r="D474" s="73"/>
    </row>
    <row r="475" ht="15.75" customHeight="1">
      <c r="D475" s="73"/>
    </row>
    <row r="476" ht="15.75" customHeight="1">
      <c r="D476" s="73"/>
    </row>
    <row r="477" ht="15.75" customHeight="1">
      <c r="D477" s="73"/>
    </row>
    <row r="478" ht="15.75" customHeight="1">
      <c r="D478" s="73"/>
    </row>
    <row r="479" ht="15.75" customHeight="1">
      <c r="D479" s="73"/>
    </row>
    <row r="480" ht="15.75" customHeight="1">
      <c r="D480" s="73"/>
    </row>
    <row r="481" ht="15.75" customHeight="1">
      <c r="D481" s="73"/>
    </row>
    <row r="482" ht="15.75" customHeight="1">
      <c r="D482" s="73"/>
    </row>
    <row r="483" ht="15.75" customHeight="1">
      <c r="D483" s="73"/>
    </row>
    <row r="484" ht="15.75" customHeight="1">
      <c r="D484" s="73"/>
    </row>
    <row r="485" ht="15.75" customHeight="1">
      <c r="D485" s="73"/>
    </row>
    <row r="486" ht="15.75" customHeight="1">
      <c r="D486" s="73"/>
    </row>
    <row r="487" ht="15.75" customHeight="1">
      <c r="D487" s="73"/>
    </row>
    <row r="488" ht="15.75" customHeight="1">
      <c r="D488" s="73"/>
    </row>
    <row r="489" ht="15.75" customHeight="1">
      <c r="D489" s="73"/>
    </row>
    <row r="490" ht="15.75" customHeight="1">
      <c r="D490" s="73"/>
    </row>
    <row r="491" ht="15.75" customHeight="1">
      <c r="D491" s="73"/>
    </row>
    <row r="492" ht="15.75" customHeight="1">
      <c r="D492" s="73"/>
    </row>
    <row r="493" ht="15.75" customHeight="1">
      <c r="D493" s="73"/>
    </row>
    <row r="494" ht="15.75" customHeight="1">
      <c r="D494" s="73"/>
    </row>
    <row r="495" ht="15.75" customHeight="1">
      <c r="D495" s="73"/>
    </row>
    <row r="496" ht="15.75" customHeight="1">
      <c r="D496" s="73"/>
    </row>
    <row r="497" ht="15.75" customHeight="1">
      <c r="D497" s="73"/>
    </row>
    <row r="498" ht="15.75" customHeight="1">
      <c r="D498" s="73"/>
    </row>
    <row r="499" ht="15.75" customHeight="1">
      <c r="D499" s="73"/>
    </row>
    <row r="500" ht="15.75" customHeight="1">
      <c r="D500" s="73"/>
    </row>
    <row r="501" ht="15.75" customHeight="1">
      <c r="D501" s="73"/>
    </row>
    <row r="502" ht="15.75" customHeight="1">
      <c r="D502" s="73"/>
    </row>
    <row r="503" ht="15.75" customHeight="1">
      <c r="D503" s="73"/>
    </row>
    <row r="504" ht="15.75" customHeight="1">
      <c r="D504" s="73"/>
    </row>
    <row r="505" ht="15.75" customHeight="1">
      <c r="D505" s="73"/>
    </row>
    <row r="506" ht="15.75" customHeight="1">
      <c r="D506" s="73"/>
    </row>
    <row r="507" ht="15.75" customHeight="1">
      <c r="D507" s="73"/>
    </row>
    <row r="508" ht="15.75" customHeight="1">
      <c r="D508" s="73"/>
    </row>
    <row r="509" ht="15.75" customHeight="1">
      <c r="D509" s="73"/>
    </row>
    <row r="510" ht="15.75" customHeight="1">
      <c r="D510" s="73"/>
    </row>
    <row r="511" ht="15.75" customHeight="1">
      <c r="D511" s="73"/>
    </row>
    <row r="512" ht="15.75" customHeight="1">
      <c r="D512" s="73"/>
    </row>
    <row r="513" ht="15.75" customHeight="1">
      <c r="D513" s="73"/>
    </row>
    <row r="514" ht="15.75" customHeight="1">
      <c r="D514" s="73"/>
    </row>
    <row r="515" ht="15.75" customHeight="1">
      <c r="D515" s="73"/>
    </row>
    <row r="516" ht="15.75" customHeight="1">
      <c r="D516" s="73"/>
    </row>
    <row r="517" ht="15.75" customHeight="1">
      <c r="D517" s="73"/>
    </row>
    <row r="518" ht="15.75" customHeight="1">
      <c r="D518" s="73"/>
    </row>
    <row r="519" ht="15.75" customHeight="1">
      <c r="D519" s="73"/>
    </row>
    <row r="520" ht="15.75" customHeight="1">
      <c r="D520" s="73"/>
    </row>
    <row r="521" ht="15.75" customHeight="1">
      <c r="D521" s="73"/>
    </row>
    <row r="522" ht="15.75" customHeight="1">
      <c r="D522" s="73"/>
    </row>
    <row r="523" ht="15.75" customHeight="1">
      <c r="D523" s="73"/>
    </row>
    <row r="524" ht="15.75" customHeight="1">
      <c r="D524" s="73"/>
    </row>
    <row r="525" ht="15.75" customHeight="1">
      <c r="D525" s="73"/>
    </row>
    <row r="526" ht="15.75" customHeight="1">
      <c r="D526" s="73"/>
    </row>
    <row r="527" ht="15.75" customHeight="1">
      <c r="D527" s="73"/>
    </row>
    <row r="528" ht="15.75" customHeight="1">
      <c r="D528" s="73"/>
    </row>
    <row r="529" ht="15.75" customHeight="1">
      <c r="D529" s="73"/>
    </row>
    <row r="530" ht="15.75" customHeight="1">
      <c r="D530" s="73"/>
    </row>
    <row r="531" ht="15.75" customHeight="1">
      <c r="D531" s="73"/>
    </row>
    <row r="532" ht="15.75" customHeight="1">
      <c r="D532" s="73"/>
    </row>
    <row r="533" ht="15.75" customHeight="1">
      <c r="D533" s="73"/>
    </row>
    <row r="534" ht="15.75" customHeight="1">
      <c r="D534" s="73"/>
    </row>
    <row r="535" ht="15.75" customHeight="1">
      <c r="D535" s="73"/>
    </row>
    <row r="536" ht="15.75" customHeight="1">
      <c r="D536" s="73"/>
    </row>
    <row r="537" ht="15.75" customHeight="1">
      <c r="D537" s="73"/>
    </row>
    <row r="538" ht="15.75" customHeight="1">
      <c r="D538" s="73"/>
    </row>
    <row r="539" ht="15.75" customHeight="1">
      <c r="D539" s="73"/>
    </row>
    <row r="540" ht="15.75" customHeight="1">
      <c r="D540" s="73"/>
    </row>
    <row r="541" ht="15.75" customHeight="1">
      <c r="D541" s="73"/>
    </row>
    <row r="542" ht="15.75" customHeight="1">
      <c r="D542" s="73"/>
    </row>
    <row r="543" ht="15.75" customHeight="1">
      <c r="D543" s="73"/>
    </row>
    <row r="544" ht="15.75" customHeight="1">
      <c r="D544" s="73"/>
    </row>
    <row r="545" ht="15.75" customHeight="1">
      <c r="D545" s="73"/>
    </row>
    <row r="546" ht="15.75" customHeight="1">
      <c r="D546" s="73"/>
    </row>
    <row r="547" ht="15.75" customHeight="1">
      <c r="D547" s="73"/>
    </row>
    <row r="548" ht="15.75" customHeight="1">
      <c r="D548" s="73"/>
    </row>
    <row r="549" ht="15.75" customHeight="1">
      <c r="D549" s="73"/>
    </row>
    <row r="550" ht="15.75" customHeight="1">
      <c r="D550" s="73"/>
    </row>
    <row r="551" ht="15.75" customHeight="1">
      <c r="D551" s="73"/>
    </row>
    <row r="552" ht="15.75" customHeight="1">
      <c r="D552" s="73"/>
    </row>
    <row r="553" ht="15.75" customHeight="1">
      <c r="D553" s="73"/>
    </row>
    <row r="554" ht="15.75" customHeight="1">
      <c r="D554" s="73"/>
    </row>
    <row r="555" ht="15.75" customHeight="1">
      <c r="D555" s="73"/>
    </row>
    <row r="556" ht="15.75" customHeight="1">
      <c r="D556" s="73"/>
    </row>
    <row r="557" ht="15.75" customHeight="1">
      <c r="D557" s="73"/>
    </row>
    <row r="558" ht="15.75" customHeight="1">
      <c r="D558" s="73"/>
    </row>
    <row r="559" ht="15.75" customHeight="1">
      <c r="D559" s="73"/>
    </row>
    <row r="560" ht="15.75" customHeight="1">
      <c r="D560" s="73"/>
    </row>
    <row r="561" ht="15.75" customHeight="1">
      <c r="D561" s="73"/>
    </row>
    <row r="562" ht="15.75" customHeight="1">
      <c r="D562" s="73"/>
    </row>
    <row r="563" ht="15.75" customHeight="1">
      <c r="D563" s="73"/>
    </row>
    <row r="564" ht="15.75" customHeight="1">
      <c r="D564" s="73"/>
    </row>
    <row r="565" ht="15.75" customHeight="1">
      <c r="D565" s="73"/>
    </row>
    <row r="566" ht="15.75" customHeight="1">
      <c r="D566" s="73"/>
    </row>
    <row r="567" ht="15.75" customHeight="1">
      <c r="D567" s="73"/>
    </row>
    <row r="568" ht="15.75" customHeight="1">
      <c r="D568" s="73"/>
    </row>
    <row r="569" ht="15.75" customHeight="1">
      <c r="D569" s="73"/>
    </row>
    <row r="570" ht="15.75" customHeight="1">
      <c r="D570" s="73"/>
    </row>
    <row r="571" ht="15.75" customHeight="1">
      <c r="D571" s="73"/>
    </row>
    <row r="572" ht="15.75" customHeight="1">
      <c r="D572" s="73"/>
    </row>
    <row r="573" ht="15.75" customHeight="1">
      <c r="D573" s="73"/>
    </row>
    <row r="574" ht="15.75" customHeight="1">
      <c r="D574" s="73"/>
    </row>
    <row r="575" ht="15.75" customHeight="1">
      <c r="D575" s="73"/>
    </row>
    <row r="576" ht="15.75" customHeight="1">
      <c r="D576" s="73"/>
    </row>
    <row r="577" ht="15.75" customHeight="1">
      <c r="D577" s="73"/>
    </row>
    <row r="578" ht="15.75" customHeight="1">
      <c r="D578" s="73"/>
    </row>
    <row r="579" ht="15.75" customHeight="1">
      <c r="D579" s="73"/>
    </row>
    <row r="580" ht="15.75" customHeight="1">
      <c r="D580" s="73"/>
    </row>
    <row r="581" ht="15.75" customHeight="1">
      <c r="D581" s="73"/>
    </row>
    <row r="582" ht="15.75" customHeight="1">
      <c r="D582" s="73"/>
    </row>
    <row r="583" ht="15.75" customHeight="1">
      <c r="D583" s="73"/>
    </row>
    <row r="584" ht="15.75" customHeight="1">
      <c r="D584" s="73"/>
    </row>
    <row r="585" ht="15.75" customHeight="1">
      <c r="D585" s="73"/>
    </row>
    <row r="586" ht="15.75" customHeight="1">
      <c r="D586" s="73"/>
    </row>
    <row r="587" ht="15.75" customHeight="1">
      <c r="D587" s="73"/>
    </row>
    <row r="588" ht="15.75" customHeight="1">
      <c r="D588" s="73"/>
    </row>
    <row r="589" ht="15.75" customHeight="1">
      <c r="D589" s="73"/>
    </row>
    <row r="590" ht="15.75" customHeight="1">
      <c r="D590" s="73"/>
    </row>
    <row r="591" ht="15.75" customHeight="1">
      <c r="D591" s="73"/>
    </row>
    <row r="592" ht="15.75" customHeight="1">
      <c r="D592" s="73"/>
    </row>
    <row r="593" ht="15.75" customHeight="1">
      <c r="D593" s="73"/>
    </row>
    <row r="594" ht="15.75" customHeight="1">
      <c r="D594" s="73"/>
    </row>
    <row r="595" ht="15.75" customHeight="1">
      <c r="D595" s="73"/>
    </row>
    <row r="596" ht="15.75" customHeight="1">
      <c r="D596" s="73"/>
    </row>
    <row r="597" ht="15.75" customHeight="1">
      <c r="D597" s="73"/>
    </row>
    <row r="598" ht="15.75" customHeight="1">
      <c r="D598" s="73"/>
    </row>
    <row r="599" ht="15.75" customHeight="1">
      <c r="D599" s="73"/>
    </row>
    <row r="600" ht="15.75" customHeight="1">
      <c r="D600" s="73"/>
    </row>
    <row r="601" ht="15.75" customHeight="1">
      <c r="D601" s="73"/>
    </row>
    <row r="602" ht="15.75" customHeight="1">
      <c r="D602" s="73"/>
    </row>
    <row r="603" ht="15.75" customHeight="1">
      <c r="D603" s="73"/>
    </row>
    <row r="604" ht="15.75" customHeight="1">
      <c r="D604" s="73"/>
    </row>
    <row r="605" ht="15.75" customHeight="1">
      <c r="D605" s="73"/>
    </row>
    <row r="606" ht="15.75" customHeight="1">
      <c r="D606" s="73"/>
    </row>
    <row r="607" ht="15.75" customHeight="1">
      <c r="D607" s="73"/>
    </row>
    <row r="608" ht="15.75" customHeight="1">
      <c r="D608" s="73"/>
    </row>
    <row r="609" ht="15.75" customHeight="1">
      <c r="D609" s="73"/>
    </row>
    <row r="610" ht="15.75" customHeight="1">
      <c r="D610" s="73"/>
    </row>
    <row r="611" ht="15.75" customHeight="1">
      <c r="D611" s="73"/>
    </row>
    <row r="612" ht="15.75" customHeight="1">
      <c r="D612" s="73"/>
    </row>
    <row r="613" ht="15.75" customHeight="1">
      <c r="D613" s="73"/>
    </row>
    <row r="614" ht="15.75" customHeight="1">
      <c r="D614" s="73"/>
    </row>
    <row r="615" ht="15.75" customHeight="1">
      <c r="D615" s="73"/>
    </row>
    <row r="616" ht="15.75" customHeight="1">
      <c r="D616" s="73"/>
    </row>
    <row r="617" ht="15.75" customHeight="1">
      <c r="D617" s="73"/>
    </row>
    <row r="618" ht="15.75" customHeight="1">
      <c r="D618" s="73"/>
    </row>
    <row r="619" ht="15.75" customHeight="1">
      <c r="D619" s="73"/>
    </row>
    <row r="620" ht="15.75" customHeight="1">
      <c r="D620" s="73"/>
    </row>
    <row r="621" ht="15.75" customHeight="1">
      <c r="D621" s="73"/>
    </row>
    <row r="622" ht="15.75" customHeight="1">
      <c r="D622" s="73"/>
    </row>
    <row r="623" ht="15.75" customHeight="1">
      <c r="D623" s="73"/>
    </row>
    <row r="624" ht="15.75" customHeight="1">
      <c r="D624" s="73"/>
    </row>
    <row r="625" ht="15.75" customHeight="1">
      <c r="D625" s="73"/>
    </row>
    <row r="626" ht="15.75" customHeight="1">
      <c r="D626" s="73"/>
    </row>
    <row r="627" ht="15.75" customHeight="1">
      <c r="D627" s="73"/>
    </row>
    <row r="628" ht="15.75" customHeight="1">
      <c r="D628" s="73"/>
    </row>
    <row r="629" ht="15.75" customHeight="1">
      <c r="D629" s="73"/>
    </row>
    <row r="630" ht="15.75" customHeight="1">
      <c r="D630" s="73"/>
    </row>
    <row r="631" ht="15.75" customHeight="1">
      <c r="D631" s="73"/>
    </row>
    <row r="632" ht="15.75" customHeight="1">
      <c r="D632" s="73"/>
    </row>
    <row r="633" ht="15.75" customHeight="1">
      <c r="D633" s="73"/>
    </row>
    <row r="634" ht="15.75" customHeight="1">
      <c r="D634" s="73"/>
    </row>
    <row r="635" ht="15.75" customHeight="1">
      <c r="D635" s="73"/>
    </row>
    <row r="636" ht="15.75" customHeight="1">
      <c r="D636" s="73"/>
    </row>
    <row r="637" ht="15.75" customHeight="1">
      <c r="D637" s="73"/>
    </row>
    <row r="638" ht="15.75" customHeight="1">
      <c r="D638" s="73"/>
    </row>
    <row r="639" ht="15.75" customHeight="1">
      <c r="D639" s="73"/>
    </row>
    <row r="640" ht="15.75" customHeight="1">
      <c r="D640" s="73"/>
    </row>
    <row r="641" ht="15.75" customHeight="1">
      <c r="D641" s="73"/>
    </row>
    <row r="642" ht="15.75" customHeight="1">
      <c r="D642" s="73"/>
    </row>
    <row r="643" ht="15.75" customHeight="1">
      <c r="D643" s="73"/>
    </row>
    <row r="644" ht="15.75" customHeight="1">
      <c r="D644" s="73"/>
    </row>
    <row r="645" ht="15.75" customHeight="1">
      <c r="D645" s="73"/>
    </row>
    <row r="646" ht="15.75" customHeight="1">
      <c r="D646" s="73"/>
    </row>
    <row r="647" ht="15.75" customHeight="1">
      <c r="D647" s="73"/>
    </row>
    <row r="648" ht="15.75" customHeight="1">
      <c r="D648" s="73"/>
    </row>
    <row r="649" ht="15.75" customHeight="1">
      <c r="D649" s="73"/>
    </row>
    <row r="650" ht="15.75" customHeight="1">
      <c r="D650" s="73"/>
    </row>
    <row r="651" ht="15.75" customHeight="1">
      <c r="D651" s="73"/>
    </row>
    <row r="652" ht="15.75" customHeight="1">
      <c r="D652" s="73"/>
    </row>
    <row r="653" ht="15.75" customHeight="1">
      <c r="D653" s="73"/>
    </row>
    <row r="654" ht="15.75" customHeight="1">
      <c r="D654" s="73"/>
    </row>
    <row r="655" ht="15.75" customHeight="1">
      <c r="D655" s="73"/>
    </row>
    <row r="656" ht="15.75" customHeight="1">
      <c r="D656" s="73"/>
    </row>
    <row r="657" ht="15.75" customHeight="1">
      <c r="D657" s="73"/>
    </row>
    <row r="658" ht="15.75" customHeight="1">
      <c r="D658" s="73"/>
    </row>
    <row r="659" ht="15.75" customHeight="1">
      <c r="D659" s="73"/>
    </row>
    <row r="660" ht="15.75" customHeight="1">
      <c r="D660" s="73"/>
    </row>
    <row r="661" ht="15.75" customHeight="1">
      <c r="D661" s="73"/>
    </row>
    <row r="662" ht="15.75" customHeight="1">
      <c r="D662" s="73"/>
    </row>
    <row r="663" ht="15.75" customHeight="1">
      <c r="D663" s="73"/>
    </row>
    <row r="664" ht="15.75" customHeight="1">
      <c r="D664" s="73"/>
    </row>
    <row r="665" ht="15.75" customHeight="1">
      <c r="D665" s="73"/>
    </row>
    <row r="666" ht="15.75" customHeight="1">
      <c r="D666" s="73"/>
    </row>
    <row r="667" ht="15.75" customHeight="1">
      <c r="D667" s="73"/>
    </row>
    <row r="668" ht="15.75" customHeight="1">
      <c r="D668" s="73"/>
    </row>
    <row r="669" ht="15.75" customHeight="1">
      <c r="D669" s="73"/>
    </row>
    <row r="670" ht="15.75" customHeight="1">
      <c r="D670" s="73"/>
    </row>
    <row r="671" ht="15.75" customHeight="1">
      <c r="D671" s="73"/>
    </row>
    <row r="672" ht="15.75" customHeight="1">
      <c r="D672" s="73"/>
    </row>
    <row r="673" ht="15.75" customHeight="1">
      <c r="D673" s="73"/>
    </row>
    <row r="674" ht="15.75" customHeight="1">
      <c r="D674" s="73"/>
    </row>
    <row r="675" ht="15.75" customHeight="1">
      <c r="D675" s="73"/>
    </row>
    <row r="676" ht="15.75" customHeight="1">
      <c r="D676" s="73"/>
    </row>
    <row r="677" ht="15.75" customHeight="1">
      <c r="D677" s="73"/>
    </row>
    <row r="678" ht="15.75" customHeight="1">
      <c r="D678" s="73"/>
    </row>
    <row r="679" ht="15.75" customHeight="1">
      <c r="D679" s="73"/>
    </row>
    <row r="680" ht="15.75" customHeight="1">
      <c r="D680" s="73"/>
    </row>
    <row r="681" ht="15.75" customHeight="1">
      <c r="D681" s="73"/>
    </row>
    <row r="682" ht="15.75" customHeight="1">
      <c r="D682" s="73"/>
    </row>
    <row r="683" ht="15.75" customHeight="1">
      <c r="D683" s="73"/>
    </row>
    <row r="684" ht="15.75" customHeight="1">
      <c r="D684" s="73"/>
    </row>
    <row r="685" ht="15.75" customHeight="1">
      <c r="D685" s="73"/>
    </row>
    <row r="686" ht="15.75" customHeight="1">
      <c r="D686" s="73"/>
    </row>
    <row r="687" ht="15.75" customHeight="1">
      <c r="D687" s="73"/>
    </row>
    <row r="688" ht="15.75" customHeight="1">
      <c r="D688" s="73"/>
    </row>
    <row r="689" ht="15.75" customHeight="1">
      <c r="D689" s="73"/>
    </row>
    <row r="690" ht="15.75" customHeight="1">
      <c r="D690" s="73"/>
    </row>
    <row r="691" ht="15.75" customHeight="1">
      <c r="D691" s="73"/>
    </row>
    <row r="692" ht="15.75" customHeight="1">
      <c r="D692" s="73"/>
    </row>
    <row r="693" ht="15.75" customHeight="1">
      <c r="D693" s="73"/>
    </row>
    <row r="694" ht="15.75" customHeight="1">
      <c r="D694" s="73"/>
    </row>
    <row r="695" ht="15.75" customHeight="1">
      <c r="D695" s="73"/>
    </row>
    <row r="696" ht="15.75" customHeight="1">
      <c r="D696" s="73"/>
    </row>
    <row r="697" ht="15.75" customHeight="1">
      <c r="D697" s="73"/>
    </row>
    <row r="698" ht="15.75" customHeight="1">
      <c r="D698" s="73"/>
    </row>
    <row r="699" ht="15.75" customHeight="1">
      <c r="D699" s="73"/>
    </row>
    <row r="700" ht="15.75" customHeight="1">
      <c r="D700" s="73"/>
    </row>
    <row r="701" ht="15.75" customHeight="1">
      <c r="D701" s="73"/>
    </row>
    <row r="702" ht="15.75" customHeight="1">
      <c r="D702" s="73"/>
    </row>
    <row r="703" ht="15.75" customHeight="1">
      <c r="D703" s="73"/>
    </row>
    <row r="704" ht="15.75" customHeight="1">
      <c r="D704" s="73"/>
    </row>
    <row r="705" ht="15.75" customHeight="1">
      <c r="D705" s="73"/>
    </row>
    <row r="706" ht="15.75" customHeight="1">
      <c r="D706" s="73"/>
    </row>
    <row r="707" ht="15.75" customHeight="1">
      <c r="D707" s="73"/>
    </row>
    <row r="708" ht="15.75" customHeight="1">
      <c r="D708" s="73"/>
    </row>
    <row r="709" ht="15.75" customHeight="1">
      <c r="D709" s="73"/>
    </row>
    <row r="710" ht="15.75" customHeight="1">
      <c r="D710" s="73"/>
    </row>
    <row r="711" ht="15.75" customHeight="1">
      <c r="D711" s="73"/>
    </row>
    <row r="712" ht="15.75" customHeight="1">
      <c r="D712" s="73"/>
    </row>
    <row r="713" ht="15.75" customHeight="1">
      <c r="D713" s="73"/>
    </row>
    <row r="714" ht="15.75" customHeight="1">
      <c r="D714" s="73"/>
    </row>
    <row r="715" ht="15.75" customHeight="1">
      <c r="D715" s="73"/>
    </row>
    <row r="716" ht="15.75" customHeight="1">
      <c r="D716" s="73"/>
    </row>
    <row r="717" ht="15.75" customHeight="1">
      <c r="D717" s="73"/>
    </row>
    <row r="718" ht="15.75" customHeight="1">
      <c r="D718" s="73"/>
    </row>
    <row r="719" ht="15.75" customHeight="1">
      <c r="D719" s="73"/>
    </row>
    <row r="720" ht="15.75" customHeight="1">
      <c r="D720" s="73"/>
    </row>
    <row r="721" ht="15.75" customHeight="1">
      <c r="D721" s="73"/>
    </row>
    <row r="722" ht="15.75" customHeight="1">
      <c r="D722" s="73"/>
    </row>
    <row r="723" ht="15.75" customHeight="1">
      <c r="D723" s="73"/>
    </row>
    <row r="724" ht="15.75" customHeight="1">
      <c r="D724" s="73"/>
    </row>
    <row r="725" ht="15.75" customHeight="1">
      <c r="D725" s="73"/>
    </row>
    <row r="726" ht="15.75" customHeight="1">
      <c r="D726" s="73"/>
    </row>
    <row r="727" ht="15.75" customHeight="1">
      <c r="D727" s="73"/>
    </row>
    <row r="728" ht="15.75" customHeight="1">
      <c r="D728" s="73"/>
    </row>
    <row r="729" ht="15.75" customHeight="1">
      <c r="D729" s="73"/>
    </row>
    <row r="730" ht="15.75" customHeight="1">
      <c r="D730" s="73"/>
    </row>
    <row r="731" ht="15.75" customHeight="1">
      <c r="D731" s="73"/>
    </row>
    <row r="732" ht="15.75" customHeight="1">
      <c r="D732" s="73"/>
    </row>
    <row r="733" ht="15.75" customHeight="1">
      <c r="D733" s="73"/>
    </row>
    <row r="734" ht="15.75" customHeight="1">
      <c r="D734" s="73"/>
    </row>
    <row r="735" ht="15.75" customHeight="1">
      <c r="D735" s="73"/>
    </row>
    <row r="736" ht="15.75" customHeight="1">
      <c r="D736" s="73"/>
    </row>
    <row r="737" ht="15.75" customHeight="1">
      <c r="D737" s="73"/>
    </row>
    <row r="738" ht="15.75" customHeight="1">
      <c r="D738" s="73"/>
    </row>
    <row r="739" ht="15.75" customHeight="1">
      <c r="D739" s="73"/>
    </row>
    <row r="740" ht="15.75" customHeight="1">
      <c r="D740" s="73"/>
    </row>
    <row r="741" ht="15.75" customHeight="1">
      <c r="D741" s="73"/>
    </row>
    <row r="742" ht="15.75" customHeight="1">
      <c r="D742" s="73"/>
    </row>
    <row r="743" ht="15.75" customHeight="1">
      <c r="D743" s="73"/>
    </row>
    <row r="744" ht="15.75" customHeight="1">
      <c r="D744" s="73"/>
    </row>
    <row r="745" ht="15.75" customHeight="1">
      <c r="D745" s="73"/>
    </row>
    <row r="746" ht="15.75" customHeight="1">
      <c r="D746" s="73"/>
    </row>
    <row r="747" ht="15.75" customHeight="1">
      <c r="D747" s="73"/>
    </row>
    <row r="748" ht="15.75" customHeight="1">
      <c r="D748" s="73"/>
    </row>
    <row r="749" ht="15.75" customHeight="1">
      <c r="D749" s="73"/>
    </row>
    <row r="750" ht="15.75" customHeight="1">
      <c r="D750" s="73"/>
    </row>
    <row r="751" ht="15.75" customHeight="1">
      <c r="D751" s="73"/>
    </row>
    <row r="752" ht="15.75" customHeight="1">
      <c r="D752" s="73"/>
    </row>
    <row r="753" ht="15.75" customHeight="1">
      <c r="D753" s="73"/>
    </row>
    <row r="754" ht="15.75" customHeight="1">
      <c r="D754" s="73"/>
    </row>
    <row r="755" ht="15.75" customHeight="1">
      <c r="D755" s="73"/>
    </row>
    <row r="756" ht="15.75" customHeight="1">
      <c r="D756" s="73"/>
    </row>
    <row r="757" ht="15.75" customHeight="1">
      <c r="D757" s="73"/>
    </row>
    <row r="758" ht="15.75" customHeight="1">
      <c r="D758" s="73"/>
    </row>
    <row r="759" ht="15.75" customHeight="1">
      <c r="D759" s="73"/>
    </row>
    <row r="760" ht="15.75" customHeight="1">
      <c r="D760" s="73"/>
    </row>
    <row r="761" ht="15.75" customHeight="1">
      <c r="D761" s="73"/>
    </row>
    <row r="762" ht="15.75" customHeight="1">
      <c r="D762" s="73"/>
    </row>
    <row r="763" ht="15.75" customHeight="1">
      <c r="D763" s="73"/>
    </row>
    <row r="764" ht="15.75" customHeight="1">
      <c r="D764" s="73"/>
    </row>
    <row r="765" ht="15.75" customHeight="1">
      <c r="D765" s="73"/>
    </row>
    <row r="766" ht="15.75" customHeight="1">
      <c r="D766" s="73"/>
    </row>
    <row r="767" ht="15.75" customHeight="1">
      <c r="D767" s="73"/>
    </row>
    <row r="768" ht="15.75" customHeight="1">
      <c r="D768" s="73"/>
    </row>
    <row r="769" ht="15.75" customHeight="1">
      <c r="D769" s="73"/>
    </row>
    <row r="770" ht="15.75" customHeight="1">
      <c r="D770" s="73"/>
    </row>
    <row r="771" ht="15.75" customHeight="1">
      <c r="D771" s="73"/>
    </row>
    <row r="772" ht="15.75" customHeight="1">
      <c r="D772" s="73"/>
    </row>
    <row r="773" ht="15.75" customHeight="1">
      <c r="D773" s="73"/>
    </row>
    <row r="774" ht="15.75" customHeight="1">
      <c r="D774" s="73"/>
    </row>
    <row r="775" ht="15.75" customHeight="1">
      <c r="D775" s="73"/>
    </row>
    <row r="776" ht="15.75" customHeight="1">
      <c r="D776" s="73"/>
    </row>
    <row r="777" ht="15.75" customHeight="1">
      <c r="D777" s="73"/>
    </row>
    <row r="778" ht="15.75" customHeight="1">
      <c r="D778" s="73"/>
    </row>
    <row r="779" ht="15.75" customHeight="1">
      <c r="D779" s="73"/>
    </row>
    <row r="780" ht="15.75" customHeight="1">
      <c r="D780" s="73"/>
    </row>
    <row r="781" ht="15.75" customHeight="1">
      <c r="D781" s="73"/>
    </row>
    <row r="782" ht="15.75" customHeight="1">
      <c r="D782" s="73"/>
    </row>
    <row r="783" ht="15.75" customHeight="1">
      <c r="D783" s="73"/>
    </row>
    <row r="784" ht="15.75" customHeight="1">
      <c r="D784" s="73"/>
    </row>
    <row r="785" ht="15.75" customHeight="1">
      <c r="D785" s="73"/>
    </row>
    <row r="786" ht="15.75" customHeight="1">
      <c r="D786" s="73"/>
    </row>
    <row r="787" ht="15.75" customHeight="1">
      <c r="D787" s="73"/>
    </row>
    <row r="788" ht="15.75" customHeight="1">
      <c r="D788" s="73"/>
    </row>
    <row r="789" ht="15.75" customHeight="1">
      <c r="D789" s="73"/>
    </row>
    <row r="790" ht="15.75" customHeight="1">
      <c r="D790" s="73"/>
    </row>
    <row r="791" ht="15.75" customHeight="1">
      <c r="D791" s="73"/>
    </row>
    <row r="792" ht="15.75" customHeight="1">
      <c r="D792" s="73"/>
    </row>
    <row r="793" ht="15.75" customHeight="1">
      <c r="D793" s="73"/>
    </row>
    <row r="794" ht="15.75" customHeight="1">
      <c r="D794" s="73"/>
    </row>
    <row r="795" ht="15.75" customHeight="1">
      <c r="D795" s="73"/>
    </row>
    <row r="796" ht="15.75" customHeight="1">
      <c r="D796" s="73"/>
    </row>
    <row r="797" ht="15.75" customHeight="1">
      <c r="D797" s="73"/>
    </row>
    <row r="798" ht="15.75" customHeight="1">
      <c r="D798" s="73"/>
    </row>
    <row r="799" ht="15.75" customHeight="1">
      <c r="D799" s="73"/>
    </row>
    <row r="800" ht="15.75" customHeight="1">
      <c r="D800" s="73"/>
    </row>
    <row r="801" ht="15.75" customHeight="1">
      <c r="D801" s="73"/>
    </row>
    <row r="802" ht="15.75" customHeight="1">
      <c r="D802" s="73"/>
    </row>
    <row r="803" ht="15.75" customHeight="1">
      <c r="D803" s="73"/>
    </row>
    <row r="804" ht="15.75" customHeight="1">
      <c r="D804" s="73"/>
    </row>
    <row r="805" ht="15.75" customHeight="1">
      <c r="D805" s="73"/>
    </row>
    <row r="806" ht="15.75" customHeight="1">
      <c r="D806" s="73"/>
    </row>
    <row r="807" ht="15.75" customHeight="1">
      <c r="D807" s="73"/>
    </row>
    <row r="808" ht="15.75" customHeight="1">
      <c r="D808" s="73"/>
    </row>
    <row r="809" ht="15.75" customHeight="1">
      <c r="D809" s="73"/>
    </row>
    <row r="810" ht="15.75" customHeight="1">
      <c r="D810" s="73"/>
    </row>
    <row r="811" ht="15.75" customHeight="1">
      <c r="D811" s="73"/>
    </row>
    <row r="812" ht="15.75" customHeight="1">
      <c r="D812" s="73"/>
    </row>
    <row r="813" ht="15.75" customHeight="1">
      <c r="D813" s="73"/>
    </row>
    <row r="814" ht="15.75" customHeight="1">
      <c r="D814" s="73"/>
    </row>
    <row r="815" ht="15.75" customHeight="1">
      <c r="D815" s="73"/>
    </row>
    <row r="816" ht="15.75" customHeight="1">
      <c r="D816" s="73"/>
    </row>
    <row r="817" ht="15.75" customHeight="1">
      <c r="D817" s="73"/>
    </row>
    <row r="818" ht="15.75" customHeight="1">
      <c r="D818" s="73"/>
    </row>
    <row r="819" ht="15.75" customHeight="1">
      <c r="D819" s="73"/>
    </row>
    <row r="820" ht="15.75" customHeight="1">
      <c r="D820" s="73"/>
    </row>
    <row r="821" ht="15.75" customHeight="1">
      <c r="D821" s="73"/>
    </row>
    <row r="822" ht="15.75" customHeight="1">
      <c r="D822" s="73"/>
    </row>
    <row r="823" ht="15.75" customHeight="1">
      <c r="D823" s="73"/>
    </row>
    <row r="824" ht="15.75" customHeight="1">
      <c r="D824" s="73"/>
    </row>
    <row r="825" ht="15.75" customHeight="1">
      <c r="D825" s="73"/>
    </row>
    <row r="826" ht="15.75" customHeight="1">
      <c r="D826" s="73"/>
    </row>
    <row r="827" ht="15.75" customHeight="1">
      <c r="D827" s="73"/>
    </row>
    <row r="828" ht="15.75" customHeight="1">
      <c r="D828" s="73"/>
    </row>
    <row r="829" ht="15.75" customHeight="1">
      <c r="D829" s="73"/>
    </row>
    <row r="830" ht="15.75" customHeight="1">
      <c r="D830" s="73"/>
    </row>
    <row r="831" ht="15.75" customHeight="1">
      <c r="D831" s="73"/>
    </row>
    <row r="832" ht="15.75" customHeight="1">
      <c r="D832" s="73"/>
    </row>
    <row r="833" ht="15.75" customHeight="1">
      <c r="D833" s="73"/>
    </row>
    <row r="834" ht="15.75" customHeight="1">
      <c r="D834" s="73"/>
    </row>
    <row r="835" ht="15.75" customHeight="1">
      <c r="D835" s="73"/>
    </row>
    <row r="836" ht="15.75" customHeight="1">
      <c r="D836" s="73"/>
    </row>
    <row r="837" ht="15.75" customHeight="1">
      <c r="D837" s="73"/>
    </row>
    <row r="838" ht="15.75" customHeight="1">
      <c r="D838" s="73"/>
    </row>
    <row r="839" ht="15.75" customHeight="1">
      <c r="D839" s="73"/>
    </row>
    <row r="840" ht="15.75" customHeight="1">
      <c r="D840" s="73"/>
    </row>
    <row r="841" ht="15.75" customHeight="1">
      <c r="D841" s="73"/>
    </row>
    <row r="842" ht="15.75" customHeight="1">
      <c r="D842" s="73"/>
    </row>
    <row r="843" ht="15.75" customHeight="1">
      <c r="D843" s="73"/>
    </row>
    <row r="844" ht="15.75" customHeight="1">
      <c r="D844" s="73"/>
    </row>
    <row r="845" ht="15.75" customHeight="1">
      <c r="D845" s="73"/>
    </row>
    <row r="846" ht="15.75" customHeight="1">
      <c r="D846" s="73"/>
    </row>
    <row r="847" ht="15.75" customHeight="1">
      <c r="D847" s="73"/>
    </row>
    <row r="848" ht="15.75" customHeight="1">
      <c r="D848" s="73"/>
    </row>
    <row r="849" ht="15.75" customHeight="1">
      <c r="D849" s="73"/>
    </row>
    <row r="850" ht="15.75" customHeight="1">
      <c r="D850" s="73"/>
    </row>
    <row r="851" ht="15.75" customHeight="1">
      <c r="D851" s="73"/>
    </row>
    <row r="852" ht="15.75" customHeight="1">
      <c r="D852" s="73"/>
    </row>
    <row r="853" ht="15.75" customHeight="1">
      <c r="D853" s="73"/>
    </row>
    <row r="854" ht="15.75" customHeight="1">
      <c r="D854" s="73"/>
    </row>
    <row r="855" ht="15.75" customHeight="1">
      <c r="D855" s="73"/>
    </row>
    <row r="856" ht="15.75" customHeight="1">
      <c r="D856" s="73"/>
    </row>
    <row r="857" ht="15.75" customHeight="1">
      <c r="D857" s="73"/>
    </row>
    <row r="858" ht="15.75" customHeight="1">
      <c r="D858" s="73"/>
    </row>
    <row r="859" ht="15.75" customHeight="1">
      <c r="D859" s="73"/>
    </row>
    <row r="860" ht="15.75" customHeight="1">
      <c r="D860" s="73"/>
    </row>
    <row r="861" ht="15.75" customHeight="1">
      <c r="D861" s="73"/>
    </row>
    <row r="862" ht="15.75" customHeight="1">
      <c r="D862" s="73"/>
    </row>
    <row r="863" ht="15.75" customHeight="1">
      <c r="D863" s="73"/>
    </row>
    <row r="864" ht="15.75" customHeight="1">
      <c r="D864" s="73"/>
    </row>
    <row r="865" ht="15.75" customHeight="1">
      <c r="D865" s="73"/>
    </row>
    <row r="866" ht="15.75" customHeight="1">
      <c r="D866" s="73"/>
    </row>
    <row r="867" ht="15.75" customHeight="1">
      <c r="D867" s="73"/>
    </row>
    <row r="868" ht="15.75" customHeight="1">
      <c r="D868" s="73"/>
    </row>
    <row r="869" ht="15.75" customHeight="1">
      <c r="D869" s="73"/>
    </row>
    <row r="870" ht="15.75" customHeight="1">
      <c r="D870" s="73"/>
    </row>
    <row r="871" ht="15.75" customHeight="1">
      <c r="D871" s="73"/>
    </row>
    <row r="872" ht="15.75" customHeight="1">
      <c r="D872" s="73"/>
    </row>
    <row r="873" ht="15.75" customHeight="1">
      <c r="D873" s="73"/>
    </row>
    <row r="874" ht="15.75" customHeight="1">
      <c r="D874" s="73"/>
    </row>
    <row r="875" ht="15.75" customHeight="1">
      <c r="D875" s="73"/>
    </row>
    <row r="876" ht="15.75" customHeight="1">
      <c r="D876" s="73"/>
    </row>
    <row r="877" ht="15.75" customHeight="1">
      <c r="D877" s="73"/>
    </row>
    <row r="878" ht="15.75" customHeight="1">
      <c r="D878" s="73"/>
    </row>
    <row r="879" ht="15.75" customHeight="1">
      <c r="D879" s="73"/>
    </row>
    <row r="880" ht="15.75" customHeight="1">
      <c r="D880" s="73"/>
    </row>
    <row r="881" ht="15.75" customHeight="1">
      <c r="D881" s="73"/>
    </row>
    <row r="882" ht="15.75" customHeight="1">
      <c r="D882" s="73"/>
    </row>
    <row r="883" ht="15.75" customHeight="1">
      <c r="D883" s="73"/>
    </row>
    <row r="884" ht="15.75" customHeight="1">
      <c r="D884" s="73"/>
    </row>
    <row r="885" ht="15.75" customHeight="1">
      <c r="D885" s="73"/>
    </row>
    <row r="886" ht="15.75" customHeight="1">
      <c r="D886" s="73"/>
    </row>
    <row r="887" ht="15.75" customHeight="1">
      <c r="D887" s="73"/>
    </row>
    <row r="888" ht="15.75" customHeight="1">
      <c r="D888" s="73"/>
    </row>
    <row r="889" ht="15.75" customHeight="1">
      <c r="D889" s="73"/>
    </row>
    <row r="890" ht="15.75" customHeight="1">
      <c r="D890" s="73"/>
    </row>
    <row r="891" ht="15.75" customHeight="1">
      <c r="D891" s="73"/>
    </row>
    <row r="892" ht="15.75" customHeight="1">
      <c r="D892" s="73"/>
    </row>
    <row r="893" ht="15.75" customHeight="1">
      <c r="D893" s="73"/>
    </row>
    <row r="894" ht="15.75" customHeight="1">
      <c r="D894" s="73"/>
    </row>
    <row r="895" ht="15.75" customHeight="1">
      <c r="D895" s="73"/>
    </row>
    <row r="896" ht="15.75" customHeight="1">
      <c r="D896" s="73"/>
    </row>
    <row r="897" ht="15.75" customHeight="1">
      <c r="D897" s="73"/>
    </row>
    <row r="898" ht="15.75" customHeight="1">
      <c r="D898" s="73"/>
    </row>
    <row r="899" ht="15.75" customHeight="1">
      <c r="D899" s="73"/>
    </row>
    <row r="900" ht="15.75" customHeight="1">
      <c r="D900" s="73"/>
    </row>
    <row r="901" ht="15.75" customHeight="1">
      <c r="D901" s="73"/>
    </row>
    <row r="902" ht="15.75" customHeight="1">
      <c r="D902" s="73"/>
    </row>
    <row r="903" ht="15.75" customHeight="1">
      <c r="D903" s="73"/>
    </row>
    <row r="904" ht="15.75" customHeight="1">
      <c r="D904" s="73"/>
    </row>
    <row r="905" ht="15.75" customHeight="1">
      <c r="D905" s="73"/>
    </row>
    <row r="906" ht="15.75" customHeight="1">
      <c r="D906" s="73"/>
    </row>
    <row r="907" ht="15.75" customHeight="1">
      <c r="D907" s="73"/>
    </row>
    <row r="908" ht="15.75" customHeight="1">
      <c r="D908" s="73"/>
    </row>
    <row r="909" ht="15.75" customHeight="1">
      <c r="D909" s="73"/>
    </row>
    <row r="910" ht="15.75" customHeight="1">
      <c r="D910" s="73"/>
    </row>
    <row r="911" ht="15.75" customHeight="1">
      <c r="D911" s="73"/>
    </row>
    <row r="912" ht="15.75" customHeight="1">
      <c r="D912" s="73"/>
    </row>
    <row r="913" ht="15.75" customHeight="1">
      <c r="D913" s="73"/>
    </row>
    <row r="914" ht="15.75" customHeight="1">
      <c r="D914" s="73"/>
    </row>
    <row r="915" ht="15.75" customHeight="1">
      <c r="D915" s="73"/>
    </row>
    <row r="916" ht="15.75" customHeight="1">
      <c r="D916" s="73"/>
    </row>
    <row r="917" ht="15.75" customHeight="1">
      <c r="D917" s="73"/>
    </row>
    <row r="918" ht="15.75" customHeight="1">
      <c r="D918" s="73"/>
    </row>
    <row r="919" ht="15.75" customHeight="1">
      <c r="D919" s="73"/>
    </row>
    <row r="920" ht="15.75" customHeight="1">
      <c r="D920" s="73"/>
    </row>
    <row r="921" ht="15.75" customHeight="1">
      <c r="D921" s="73"/>
    </row>
    <row r="922" ht="15.75" customHeight="1">
      <c r="D922" s="73"/>
    </row>
    <row r="923" ht="15.75" customHeight="1">
      <c r="D923" s="73"/>
    </row>
    <row r="924" ht="15.75" customHeight="1">
      <c r="D924" s="73"/>
    </row>
    <row r="925" ht="15.75" customHeight="1">
      <c r="D925" s="73"/>
    </row>
    <row r="926" ht="15.75" customHeight="1">
      <c r="D926" s="73"/>
    </row>
    <row r="927" ht="15.75" customHeight="1">
      <c r="D927" s="73"/>
    </row>
    <row r="928" ht="15.75" customHeight="1">
      <c r="D928" s="73"/>
    </row>
    <row r="929" ht="15.75" customHeight="1">
      <c r="D929" s="73"/>
    </row>
    <row r="930" ht="15.75" customHeight="1">
      <c r="D930" s="73"/>
    </row>
    <row r="931" ht="15.75" customHeight="1">
      <c r="D931" s="73"/>
    </row>
    <row r="932" ht="15.75" customHeight="1">
      <c r="D932" s="73"/>
    </row>
    <row r="933" ht="15.75" customHeight="1">
      <c r="D933" s="73"/>
    </row>
    <row r="934" ht="15.75" customHeight="1">
      <c r="D934" s="73"/>
    </row>
    <row r="935" ht="15.75" customHeight="1">
      <c r="D935" s="73"/>
    </row>
    <row r="936" ht="15.75" customHeight="1">
      <c r="D936" s="73"/>
    </row>
    <row r="937" ht="15.75" customHeight="1">
      <c r="D937" s="73"/>
    </row>
    <row r="938" ht="15.75" customHeight="1">
      <c r="D938" s="73"/>
    </row>
    <row r="939" ht="15.75" customHeight="1">
      <c r="D939" s="73"/>
    </row>
    <row r="940" ht="15.75" customHeight="1">
      <c r="D940" s="73"/>
    </row>
    <row r="941" ht="15.75" customHeight="1">
      <c r="D941" s="73"/>
    </row>
    <row r="942" ht="15.75" customHeight="1">
      <c r="D942" s="73"/>
    </row>
    <row r="943" ht="15.75" customHeight="1">
      <c r="D943" s="73"/>
    </row>
    <row r="944" ht="15.75" customHeight="1">
      <c r="D944" s="73"/>
    </row>
    <row r="945" ht="15.75" customHeight="1">
      <c r="D945" s="73"/>
    </row>
    <row r="946" ht="15.75" customHeight="1">
      <c r="D946" s="73"/>
    </row>
    <row r="947" ht="15.75" customHeight="1">
      <c r="D947" s="73"/>
    </row>
    <row r="948" ht="15.75" customHeight="1">
      <c r="D948" s="73"/>
    </row>
    <row r="949" ht="15.75" customHeight="1">
      <c r="D949" s="73"/>
    </row>
    <row r="950" ht="15.75" customHeight="1">
      <c r="D950" s="73"/>
    </row>
    <row r="951" ht="15.75" customHeight="1">
      <c r="D951" s="73"/>
    </row>
    <row r="952" ht="15.75" customHeight="1">
      <c r="D952" s="73"/>
    </row>
  </sheetData>
  <mergeCells count="87">
    <mergeCell ref="G23:G29"/>
    <mergeCell ref="H23:H29"/>
    <mergeCell ref="G1:G2"/>
    <mergeCell ref="G3:G11"/>
    <mergeCell ref="H3:H11"/>
    <mergeCell ref="G12:G13"/>
    <mergeCell ref="H12:H13"/>
    <mergeCell ref="G14:G22"/>
    <mergeCell ref="H14:H22"/>
    <mergeCell ref="A43:A47"/>
    <mergeCell ref="A48:A53"/>
    <mergeCell ref="A54:A57"/>
    <mergeCell ref="A58:A60"/>
    <mergeCell ref="A62:A66"/>
    <mergeCell ref="A12:A13"/>
    <mergeCell ref="A14:A22"/>
    <mergeCell ref="A23:A29"/>
    <mergeCell ref="A30:A38"/>
    <mergeCell ref="H30:H38"/>
    <mergeCell ref="A39:A42"/>
    <mergeCell ref="H43:H47"/>
    <mergeCell ref="G58:G60"/>
    <mergeCell ref="G62:G66"/>
    <mergeCell ref="H62:H66"/>
    <mergeCell ref="G30:G38"/>
    <mergeCell ref="G43:G47"/>
    <mergeCell ref="G48:G53"/>
    <mergeCell ref="H48:H53"/>
    <mergeCell ref="G54:G57"/>
    <mergeCell ref="H54:H57"/>
    <mergeCell ref="H58:H60"/>
    <mergeCell ref="R48:R53"/>
    <mergeCell ref="R54:R57"/>
    <mergeCell ref="R58:R60"/>
    <mergeCell ref="R62:R66"/>
    <mergeCell ref="T62:T66"/>
    <mergeCell ref="R3:R11"/>
    <mergeCell ref="R12:R13"/>
    <mergeCell ref="R14:R22"/>
    <mergeCell ref="R23:R29"/>
    <mergeCell ref="R30:R38"/>
    <mergeCell ref="R39:R42"/>
    <mergeCell ref="R43:R47"/>
    <mergeCell ref="H1:H2"/>
    <mergeCell ref="I1:I2"/>
    <mergeCell ref="J1:N1"/>
    <mergeCell ref="O1:O2"/>
    <mergeCell ref="P1:P2"/>
    <mergeCell ref="Q1:Q2"/>
    <mergeCell ref="R1:R2"/>
    <mergeCell ref="A1:A2"/>
    <mergeCell ref="B1:B2"/>
    <mergeCell ref="C1:C2"/>
    <mergeCell ref="D1:D2"/>
    <mergeCell ref="E1:E2"/>
    <mergeCell ref="F1:F2"/>
    <mergeCell ref="A3:A11"/>
    <mergeCell ref="S1:S2"/>
    <mergeCell ref="U1:U2"/>
    <mergeCell ref="V1:V2"/>
    <mergeCell ref="W1:W2"/>
    <mergeCell ref="X1:X2"/>
    <mergeCell ref="Y1:Y2"/>
    <mergeCell ref="X3:X11"/>
    <mergeCell ref="G39:G42"/>
    <mergeCell ref="H39:H42"/>
    <mergeCell ref="T43:T47"/>
    <mergeCell ref="T48:T53"/>
    <mergeCell ref="T54:T57"/>
    <mergeCell ref="T58:T60"/>
    <mergeCell ref="T1:T2"/>
    <mergeCell ref="T3:T11"/>
    <mergeCell ref="T12:T13"/>
    <mergeCell ref="T14:T22"/>
    <mergeCell ref="T23:T29"/>
    <mergeCell ref="T30:T38"/>
    <mergeCell ref="T39:T42"/>
    <mergeCell ref="X54:X57"/>
    <mergeCell ref="X58:X60"/>
    <mergeCell ref="X62:X66"/>
    <mergeCell ref="X12:X13"/>
    <mergeCell ref="X14:X22"/>
    <mergeCell ref="X23:X29"/>
    <mergeCell ref="X30:X38"/>
    <mergeCell ref="X39:X42"/>
    <mergeCell ref="X43:X47"/>
    <mergeCell ref="X48:X53"/>
  </mergeCells>
  <printOptions/>
  <pageMargins bottom="1.0" footer="0.0" header="0.0" left="0.75" right="0.75" top="1.0"/>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8.14"/>
    <col customWidth="1" min="3" max="3" width="20.0"/>
    <col customWidth="1" min="4" max="4" width="11.86"/>
    <col customWidth="1" min="5" max="5" width="22.0"/>
    <col customWidth="1" min="6" max="6" width="34.0"/>
    <col customWidth="1" min="7" max="7" width="26.0"/>
    <col customWidth="1" min="8" max="8" width="24.0"/>
    <col customWidth="1" min="9" max="14" width="30.0"/>
    <col customWidth="1" min="15" max="15" width="32.0"/>
    <col customWidth="1" min="16" max="16" width="26.0"/>
    <col customWidth="1" min="17" max="17" width="36.0"/>
    <col customWidth="1" min="18" max="18" width="20.0"/>
    <col customWidth="1" min="19" max="19" width="38.0"/>
    <col customWidth="1" min="20" max="21" width="28.0"/>
    <col customWidth="1" min="22" max="22" width="42.0"/>
    <col customWidth="1" min="23" max="24" width="34.0"/>
    <col customWidth="1" min="25" max="25" width="22.0"/>
    <col customWidth="1" min="26" max="27" width="8.71"/>
  </cols>
  <sheetData>
    <row r="1" ht="30.0" customHeight="1">
      <c r="A1" s="8"/>
      <c r="B1" s="8" t="s">
        <v>9</v>
      </c>
      <c r="C1" s="8" t="s">
        <v>51</v>
      </c>
      <c r="D1" s="10" t="s">
        <v>61</v>
      </c>
      <c r="E1" s="8" t="s">
        <v>71</v>
      </c>
      <c r="F1" s="8" t="s">
        <v>76</v>
      </c>
      <c r="G1" s="8" t="s">
        <v>82</v>
      </c>
      <c r="H1" s="8" t="s">
        <v>86</v>
      </c>
      <c r="I1" s="8" t="s">
        <v>3</v>
      </c>
      <c r="J1" s="12" t="s">
        <v>94</v>
      </c>
      <c r="K1" s="13"/>
      <c r="L1" s="13"/>
      <c r="M1" s="13"/>
      <c r="N1" s="14"/>
      <c r="O1" s="16" t="s">
        <v>101</v>
      </c>
      <c r="P1" s="8" t="s">
        <v>108</v>
      </c>
      <c r="Q1" s="8" t="s">
        <v>110</v>
      </c>
      <c r="R1" s="8" t="s">
        <v>116</v>
      </c>
      <c r="S1" s="8" t="s">
        <v>118</v>
      </c>
      <c r="T1" s="8" t="s">
        <v>123</v>
      </c>
      <c r="U1" s="8" t="s">
        <v>129</v>
      </c>
      <c r="V1" s="8" t="s">
        <v>130</v>
      </c>
      <c r="W1" s="19" t="s">
        <v>134</v>
      </c>
      <c r="X1" s="8" t="s">
        <v>136</v>
      </c>
      <c r="Y1" s="8" t="s">
        <v>137</v>
      </c>
    </row>
    <row r="2" ht="43.5" customHeight="1">
      <c r="A2" s="21"/>
      <c r="B2" s="21"/>
      <c r="C2" s="21"/>
      <c r="D2" s="21"/>
      <c r="E2" s="21"/>
      <c r="F2" s="21"/>
      <c r="G2" s="21"/>
      <c r="H2" s="21"/>
      <c r="I2" s="21"/>
      <c r="J2" s="22" t="s">
        <v>138</v>
      </c>
      <c r="K2" s="22" t="s">
        <v>139</v>
      </c>
      <c r="L2" s="22" t="s">
        <v>140</v>
      </c>
      <c r="M2" s="22" t="s">
        <v>141</v>
      </c>
      <c r="N2" s="22" t="s">
        <v>142</v>
      </c>
      <c r="O2" s="21"/>
      <c r="P2" s="21"/>
      <c r="Q2" s="21"/>
      <c r="R2" s="21"/>
      <c r="S2" s="21"/>
      <c r="T2" s="21"/>
      <c r="U2" s="21"/>
      <c r="V2" s="21"/>
      <c r="W2" s="21"/>
      <c r="X2" s="21"/>
      <c r="Y2" s="21"/>
    </row>
    <row r="3" ht="81.0" customHeight="1">
      <c r="A3" s="34" t="s">
        <v>168</v>
      </c>
      <c r="B3" s="29" t="s">
        <v>183</v>
      </c>
      <c r="C3" s="29" t="s">
        <v>186</v>
      </c>
      <c r="D3" s="35">
        <v>1.0</v>
      </c>
      <c r="E3" s="29" t="s">
        <v>193</v>
      </c>
      <c r="F3" s="29" t="s">
        <v>196</v>
      </c>
      <c r="G3" s="38" t="s">
        <v>198</v>
      </c>
      <c r="H3" s="38" t="s">
        <v>205</v>
      </c>
      <c r="I3" s="29" t="s">
        <v>16</v>
      </c>
      <c r="J3" s="30" t="s">
        <v>224</v>
      </c>
      <c r="K3" s="30" t="s">
        <v>226</v>
      </c>
      <c r="L3" s="30" t="s">
        <v>229</v>
      </c>
      <c r="M3" s="30" t="s">
        <v>232</v>
      </c>
      <c r="N3" s="30" t="s">
        <v>234</v>
      </c>
      <c r="O3" s="31" t="s">
        <v>240</v>
      </c>
      <c r="P3" s="29" t="s">
        <v>244</v>
      </c>
      <c r="Q3" s="29" t="s">
        <v>247</v>
      </c>
      <c r="R3" s="38" t="s">
        <v>248</v>
      </c>
      <c r="S3" s="29" t="s">
        <v>253</v>
      </c>
      <c r="T3" s="38" t="s">
        <v>257</v>
      </c>
      <c r="U3" s="36" t="s">
        <v>269</v>
      </c>
      <c r="V3" s="36" t="s">
        <v>279</v>
      </c>
      <c r="W3" s="37" t="s">
        <v>283</v>
      </c>
      <c r="X3" s="38" t="s">
        <v>284</v>
      </c>
      <c r="Y3" s="41" t="s">
        <v>291</v>
      </c>
      <c r="Z3" s="42"/>
      <c r="AA3" s="42"/>
    </row>
    <row r="4" ht="81.0" customHeight="1">
      <c r="A4" s="39"/>
      <c r="B4" s="43" t="s">
        <v>183</v>
      </c>
      <c r="C4" s="43" t="s">
        <v>186</v>
      </c>
      <c r="D4" s="44">
        <v>2.0</v>
      </c>
      <c r="E4" s="43" t="s">
        <v>315</v>
      </c>
      <c r="F4" s="43" t="s">
        <v>317</v>
      </c>
      <c r="G4" s="39"/>
      <c r="H4" s="39"/>
      <c r="I4" s="43" t="s">
        <v>16</v>
      </c>
      <c r="J4" s="45" t="s">
        <v>321</v>
      </c>
      <c r="K4" s="45" t="s">
        <v>324</v>
      </c>
      <c r="L4" s="45" t="s">
        <v>326</v>
      </c>
      <c r="M4" s="45" t="s">
        <v>329</v>
      </c>
      <c r="N4" s="45" t="s">
        <v>332</v>
      </c>
      <c r="O4" s="46" t="s">
        <v>338</v>
      </c>
      <c r="P4" s="43" t="s">
        <v>340</v>
      </c>
      <c r="Q4" s="43" t="s">
        <v>341</v>
      </c>
      <c r="R4" s="39"/>
      <c r="S4" s="43" t="s">
        <v>345</v>
      </c>
      <c r="T4" s="39"/>
      <c r="U4" s="47" t="s">
        <v>348</v>
      </c>
      <c r="V4" s="47" t="s">
        <v>358</v>
      </c>
      <c r="W4" s="48" t="s">
        <v>360</v>
      </c>
      <c r="X4" s="39"/>
      <c r="Y4" s="41"/>
      <c r="Z4" s="42"/>
      <c r="AA4" s="42"/>
    </row>
    <row r="5" ht="81.0" customHeight="1">
      <c r="A5" s="39"/>
      <c r="B5" s="29" t="s">
        <v>183</v>
      </c>
      <c r="C5" s="29" t="s">
        <v>367</v>
      </c>
      <c r="D5" s="35">
        <v>3.0</v>
      </c>
      <c r="E5" s="29" t="s">
        <v>369</v>
      </c>
      <c r="F5" s="51" t="s">
        <v>372</v>
      </c>
      <c r="G5" s="39"/>
      <c r="H5" s="39"/>
      <c r="I5" s="29" t="s">
        <v>16</v>
      </c>
      <c r="J5" s="30" t="s">
        <v>374</v>
      </c>
      <c r="K5" s="30" t="s">
        <v>376</v>
      </c>
      <c r="L5" s="30" t="s">
        <v>379</v>
      </c>
      <c r="M5" s="30" t="s">
        <v>382</v>
      </c>
      <c r="N5" s="30" t="s">
        <v>383</v>
      </c>
      <c r="O5" s="31" t="s">
        <v>385</v>
      </c>
      <c r="P5" s="29" t="s">
        <v>386</v>
      </c>
      <c r="Q5" s="29" t="s">
        <v>389</v>
      </c>
      <c r="R5" s="39"/>
      <c r="S5" s="29" t="s">
        <v>391</v>
      </c>
      <c r="T5" s="39"/>
      <c r="U5" s="36" t="s">
        <v>393</v>
      </c>
      <c r="V5" s="36" t="s">
        <v>395</v>
      </c>
      <c r="W5" s="37" t="s">
        <v>397</v>
      </c>
      <c r="X5" s="39"/>
      <c r="Y5" s="41" t="s">
        <v>398</v>
      </c>
      <c r="Z5" s="42"/>
      <c r="AA5" s="42"/>
    </row>
    <row r="6" ht="81.0" customHeight="1">
      <c r="A6" s="39"/>
      <c r="B6" s="29" t="s">
        <v>183</v>
      </c>
      <c r="C6" s="29" t="s">
        <v>401</v>
      </c>
      <c r="D6" s="35">
        <v>4.0</v>
      </c>
      <c r="E6" s="29" t="s">
        <v>402</v>
      </c>
      <c r="F6" s="51" t="s">
        <v>403</v>
      </c>
      <c r="G6" s="39"/>
      <c r="H6" s="39"/>
      <c r="I6" s="29" t="s">
        <v>16</v>
      </c>
      <c r="J6" s="30" t="s">
        <v>406</v>
      </c>
      <c r="K6" s="30" t="s">
        <v>408</v>
      </c>
      <c r="L6" s="30" t="s">
        <v>410</v>
      </c>
      <c r="M6" s="30" t="s">
        <v>412</v>
      </c>
      <c r="N6" s="30" t="s">
        <v>414</v>
      </c>
      <c r="O6" s="31" t="s">
        <v>417</v>
      </c>
      <c r="P6" s="29" t="s">
        <v>421</v>
      </c>
      <c r="Q6" s="29" t="s">
        <v>423</v>
      </c>
      <c r="R6" s="39"/>
      <c r="S6" s="29" t="s">
        <v>426</v>
      </c>
      <c r="T6" s="39"/>
      <c r="U6" s="36" t="s">
        <v>430</v>
      </c>
      <c r="V6" s="36" t="s">
        <v>439</v>
      </c>
      <c r="W6" s="37" t="s">
        <v>441</v>
      </c>
      <c r="X6" s="39"/>
      <c r="Y6" s="41" t="s">
        <v>445</v>
      </c>
      <c r="Z6" s="42"/>
      <c r="AA6" s="42"/>
    </row>
    <row r="7" ht="81.0" customHeight="1">
      <c r="A7" s="21"/>
      <c r="B7" s="29" t="s">
        <v>183</v>
      </c>
      <c r="C7" s="29" t="s">
        <v>401</v>
      </c>
      <c r="D7" s="35">
        <v>5.0</v>
      </c>
      <c r="E7" s="29" t="s">
        <v>450</v>
      </c>
      <c r="F7" s="51" t="s">
        <v>454</v>
      </c>
      <c r="G7" s="21"/>
      <c r="H7" s="21"/>
      <c r="I7" s="29" t="s">
        <v>68</v>
      </c>
      <c r="J7" s="30" t="s">
        <v>458</v>
      </c>
      <c r="K7" s="30" t="s">
        <v>461</v>
      </c>
      <c r="L7" s="30" t="s">
        <v>465</v>
      </c>
      <c r="M7" s="30" t="s">
        <v>468</v>
      </c>
      <c r="N7" s="30" t="s">
        <v>472</v>
      </c>
      <c r="O7" s="31" t="s">
        <v>474</v>
      </c>
      <c r="P7" s="29" t="s">
        <v>476</v>
      </c>
      <c r="Q7" s="29" t="s">
        <v>479</v>
      </c>
      <c r="R7" s="21"/>
      <c r="S7" s="29" t="s">
        <v>482</v>
      </c>
      <c r="T7" s="21"/>
      <c r="U7" s="36" t="s">
        <v>487</v>
      </c>
      <c r="V7" s="36" t="s">
        <v>495</v>
      </c>
      <c r="W7" s="37" t="s">
        <v>497</v>
      </c>
      <c r="X7" s="21"/>
      <c r="Y7" s="41" t="s">
        <v>500</v>
      </c>
      <c r="Z7" s="42"/>
      <c r="AA7" s="42"/>
    </row>
    <row r="8" ht="81.0" customHeight="1">
      <c r="A8" s="34" t="s">
        <v>501</v>
      </c>
      <c r="B8" s="29" t="s">
        <v>510</v>
      </c>
      <c r="C8" s="29" t="s">
        <v>514</v>
      </c>
      <c r="D8" s="35">
        <v>6.0</v>
      </c>
      <c r="E8" s="51" t="s">
        <v>519</v>
      </c>
      <c r="F8" s="29" t="s">
        <v>521</v>
      </c>
      <c r="G8" s="38" t="s">
        <v>525</v>
      </c>
      <c r="H8" s="38" t="s">
        <v>538</v>
      </c>
      <c r="I8" s="29" t="s">
        <v>16</v>
      </c>
      <c r="J8" s="30" t="s">
        <v>551</v>
      </c>
      <c r="K8" s="30" t="s">
        <v>554</v>
      </c>
      <c r="L8" s="30" t="s">
        <v>556</v>
      </c>
      <c r="M8" s="30" t="s">
        <v>557</v>
      </c>
      <c r="N8" s="30" t="s">
        <v>558</v>
      </c>
      <c r="O8" s="31" t="s">
        <v>560</v>
      </c>
      <c r="P8" s="29" t="s">
        <v>563</v>
      </c>
      <c r="Q8" s="29" t="s">
        <v>564</v>
      </c>
      <c r="R8" s="38" t="s">
        <v>568</v>
      </c>
      <c r="S8" s="29" t="s">
        <v>576</v>
      </c>
      <c r="T8" s="38" t="s">
        <v>582</v>
      </c>
      <c r="U8" s="36" t="s">
        <v>586</v>
      </c>
      <c r="V8" s="36" t="s">
        <v>592</v>
      </c>
      <c r="W8" s="37" t="s">
        <v>596</v>
      </c>
      <c r="X8" s="38" t="s">
        <v>602</v>
      </c>
      <c r="Y8" s="41" t="s">
        <v>605</v>
      </c>
      <c r="Z8" s="42"/>
      <c r="AA8" s="42"/>
    </row>
    <row r="9" ht="81.0" customHeight="1">
      <c r="A9" s="39"/>
      <c r="B9" s="29" t="s">
        <v>510</v>
      </c>
      <c r="C9" s="29" t="s">
        <v>514</v>
      </c>
      <c r="D9" s="35">
        <v>7.0</v>
      </c>
      <c r="E9" s="29" t="s">
        <v>609</v>
      </c>
      <c r="F9" s="29" t="s">
        <v>611</v>
      </c>
      <c r="G9" s="39"/>
      <c r="H9" s="39"/>
      <c r="I9" s="29" t="s">
        <v>16</v>
      </c>
      <c r="J9" s="30" t="s">
        <v>616</v>
      </c>
      <c r="K9" s="30" t="s">
        <v>619</v>
      </c>
      <c r="L9" s="30" t="s">
        <v>622</v>
      </c>
      <c r="M9" s="30" t="s">
        <v>625</v>
      </c>
      <c r="N9" s="30" t="s">
        <v>626</v>
      </c>
      <c r="O9" s="31" t="s">
        <v>628</v>
      </c>
      <c r="P9" s="29" t="s">
        <v>629</v>
      </c>
      <c r="Q9" s="29" t="s">
        <v>630</v>
      </c>
      <c r="R9" s="39"/>
      <c r="S9" s="29" t="s">
        <v>633</v>
      </c>
      <c r="T9" s="39"/>
      <c r="U9" s="36" t="s">
        <v>637</v>
      </c>
      <c r="V9" s="36" t="s">
        <v>647</v>
      </c>
      <c r="W9" s="37" t="s">
        <v>649</v>
      </c>
      <c r="X9" s="39"/>
      <c r="Y9" s="41" t="s">
        <v>650</v>
      </c>
      <c r="Z9" s="42"/>
      <c r="AA9" s="42"/>
    </row>
    <row r="10" ht="81.0" customHeight="1">
      <c r="A10" s="39"/>
      <c r="B10" s="29" t="s">
        <v>510</v>
      </c>
      <c r="C10" s="29" t="s">
        <v>514</v>
      </c>
      <c r="D10" s="35">
        <v>8.0</v>
      </c>
      <c r="E10" s="29" t="s">
        <v>654</v>
      </c>
      <c r="F10" s="29" t="s">
        <v>656</v>
      </c>
      <c r="G10" s="39"/>
      <c r="H10" s="39"/>
      <c r="I10" s="29" t="s">
        <v>16</v>
      </c>
      <c r="J10" s="30" t="s">
        <v>660</v>
      </c>
      <c r="K10" s="30" t="s">
        <v>663</v>
      </c>
      <c r="L10" s="30" t="s">
        <v>667</v>
      </c>
      <c r="M10" s="30" t="s">
        <v>669</v>
      </c>
      <c r="N10" s="30" t="s">
        <v>671</v>
      </c>
      <c r="O10" s="31" t="s">
        <v>673</v>
      </c>
      <c r="P10" s="29" t="s">
        <v>674</v>
      </c>
      <c r="Q10" s="29" t="s">
        <v>675</v>
      </c>
      <c r="R10" s="39"/>
      <c r="S10" s="29" t="s">
        <v>678</v>
      </c>
      <c r="T10" s="39"/>
      <c r="U10" s="36" t="s">
        <v>680</v>
      </c>
      <c r="V10" s="36" t="s">
        <v>691</v>
      </c>
      <c r="W10" s="37" t="s">
        <v>693</v>
      </c>
      <c r="X10" s="39"/>
      <c r="Y10" s="41" t="s">
        <v>694</v>
      </c>
      <c r="Z10" s="42"/>
      <c r="AA10" s="42"/>
    </row>
    <row r="11" ht="81.0" customHeight="1">
      <c r="A11" s="39"/>
      <c r="B11" s="29" t="s">
        <v>510</v>
      </c>
      <c r="C11" s="29" t="s">
        <v>696</v>
      </c>
      <c r="D11" s="35">
        <v>9.0</v>
      </c>
      <c r="E11" s="29" t="s">
        <v>698</v>
      </c>
      <c r="F11" s="29" t="s">
        <v>700</v>
      </c>
      <c r="G11" s="39"/>
      <c r="H11" s="39"/>
      <c r="I11" s="29" t="s">
        <v>68</v>
      </c>
      <c r="J11" s="30" t="s">
        <v>702</v>
      </c>
      <c r="K11" s="30" t="s">
        <v>703</v>
      </c>
      <c r="L11" s="30" t="s">
        <v>706</v>
      </c>
      <c r="M11" s="30" t="s">
        <v>709</v>
      </c>
      <c r="N11" s="30" t="s">
        <v>710</v>
      </c>
      <c r="O11" s="31" t="s">
        <v>711</v>
      </c>
      <c r="P11" s="29" t="s">
        <v>712</v>
      </c>
      <c r="Q11" s="29" t="s">
        <v>713</v>
      </c>
      <c r="R11" s="39"/>
      <c r="S11" s="29" t="s">
        <v>714</v>
      </c>
      <c r="T11" s="39"/>
      <c r="U11" s="36" t="s">
        <v>720</v>
      </c>
      <c r="V11" s="36" t="s">
        <v>724</v>
      </c>
      <c r="W11" s="37" t="s">
        <v>726</v>
      </c>
      <c r="X11" s="39"/>
      <c r="Y11" s="41" t="s">
        <v>727</v>
      </c>
      <c r="Z11" s="42"/>
      <c r="AA11" s="42"/>
    </row>
    <row r="12" ht="81.0" customHeight="1">
      <c r="A12" s="39"/>
      <c r="B12" s="29" t="s">
        <v>510</v>
      </c>
      <c r="C12" s="29" t="s">
        <v>696</v>
      </c>
      <c r="D12" s="35">
        <v>10.0</v>
      </c>
      <c r="E12" s="29" t="s">
        <v>729</v>
      </c>
      <c r="F12" s="29" t="s">
        <v>731</v>
      </c>
      <c r="G12" s="39"/>
      <c r="H12" s="39"/>
      <c r="I12" s="29" t="s">
        <v>46</v>
      </c>
      <c r="J12" s="30" t="s">
        <v>733</v>
      </c>
      <c r="K12" s="30" t="s">
        <v>735</v>
      </c>
      <c r="L12" s="30" t="s">
        <v>736</v>
      </c>
      <c r="M12" s="30" t="s">
        <v>739</v>
      </c>
      <c r="N12" s="30" t="s">
        <v>740</v>
      </c>
      <c r="O12" s="31" t="s">
        <v>743</v>
      </c>
      <c r="P12" s="29" t="s">
        <v>746</v>
      </c>
      <c r="Q12" s="29" t="s">
        <v>751</v>
      </c>
      <c r="R12" s="39"/>
      <c r="S12" s="29" t="s">
        <v>753</v>
      </c>
      <c r="T12" s="39"/>
      <c r="U12" s="36" t="s">
        <v>755</v>
      </c>
      <c r="V12" s="36" t="s">
        <v>762</v>
      </c>
      <c r="W12" s="37" t="s">
        <v>765</v>
      </c>
      <c r="X12" s="39"/>
      <c r="Y12" s="41" t="s">
        <v>769</v>
      </c>
      <c r="Z12" s="42"/>
      <c r="AA12" s="42"/>
    </row>
    <row r="13" ht="81.0" customHeight="1">
      <c r="A13" s="39"/>
      <c r="B13" s="29" t="s">
        <v>510</v>
      </c>
      <c r="C13" s="29" t="s">
        <v>696</v>
      </c>
      <c r="D13" s="35">
        <v>11.0</v>
      </c>
      <c r="E13" s="29" t="s">
        <v>775</v>
      </c>
      <c r="F13" s="29" t="s">
        <v>776</v>
      </c>
      <c r="G13" s="39"/>
      <c r="H13" s="39"/>
      <c r="I13" s="29" t="s">
        <v>16</v>
      </c>
      <c r="J13" s="30" t="s">
        <v>778</v>
      </c>
      <c r="K13" s="30" t="s">
        <v>781</v>
      </c>
      <c r="L13" s="30" t="s">
        <v>782</v>
      </c>
      <c r="M13" s="30" t="s">
        <v>784</v>
      </c>
      <c r="N13" s="30" t="s">
        <v>786</v>
      </c>
      <c r="O13" s="31" t="s">
        <v>787</v>
      </c>
      <c r="P13" s="29" t="s">
        <v>790</v>
      </c>
      <c r="Q13" s="29" t="s">
        <v>794</v>
      </c>
      <c r="R13" s="39"/>
      <c r="S13" s="29" t="s">
        <v>798</v>
      </c>
      <c r="T13" s="39"/>
      <c r="U13" s="36" t="s">
        <v>805</v>
      </c>
      <c r="V13" s="36" t="s">
        <v>811</v>
      </c>
      <c r="W13" s="37" t="s">
        <v>814</v>
      </c>
      <c r="X13" s="39"/>
      <c r="Y13" s="41" t="s">
        <v>816</v>
      </c>
      <c r="Z13" s="42"/>
      <c r="AA13" s="42"/>
    </row>
    <row r="14" ht="81.0" customHeight="1">
      <c r="A14" s="39"/>
      <c r="B14" s="29" t="s">
        <v>510</v>
      </c>
      <c r="C14" s="29" t="s">
        <v>825</v>
      </c>
      <c r="D14" s="35">
        <v>12.0</v>
      </c>
      <c r="E14" s="29" t="s">
        <v>698</v>
      </c>
      <c r="F14" s="29" t="s">
        <v>831</v>
      </c>
      <c r="G14" s="39"/>
      <c r="H14" s="39"/>
      <c r="I14" s="29" t="s">
        <v>68</v>
      </c>
      <c r="J14" s="30" t="s">
        <v>838</v>
      </c>
      <c r="K14" s="30" t="s">
        <v>840</v>
      </c>
      <c r="L14" s="30" t="s">
        <v>845</v>
      </c>
      <c r="M14" s="30" t="s">
        <v>850</v>
      </c>
      <c r="N14" s="30" t="s">
        <v>852</v>
      </c>
      <c r="O14" s="31" t="s">
        <v>856</v>
      </c>
      <c r="P14" s="29" t="s">
        <v>859</v>
      </c>
      <c r="Q14" s="29" t="s">
        <v>861</v>
      </c>
      <c r="R14" s="39"/>
      <c r="S14" s="29" t="s">
        <v>866</v>
      </c>
      <c r="T14" s="39"/>
      <c r="U14" s="36" t="s">
        <v>875</v>
      </c>
      <c r="V14" s="36" t="s">
        <v>889</v>
      </c>
      <c r="W14" s="37" t="s">
        <v>895</v>
      </c>
      <c r="X14" s="39"/>
      <c r="Y14" s="41" t="s">
        <v>899</v>
      </c>
      <c r="Z14" s="42"/>
      <c r="AA14" s="42"/>
    </row>
    <row r="15" ht="81.0" customHeight="1">
      <c r="A15" s="39"/>
      <c r="B15" s="29" t="s">
        <v>510</v>
      </c>
      <c r="C15" s="29" t="s">
        <v>825</v>
      </c>
      <c r="D15" s="35">
        <v>13.0</v>
      </c>
      <c r="E15" s="29" t="s">
        <v>729</v>
      </c>
      <c r="F15" s="29" t="s">
        <v>911</v>
      </c>
      <c r="G15" s="39"/>
      <c r="H15" s="39"/>
      <c r="I15" s="29" t="s">
        <v>46</v>
      </c>
      <c r="J15" s="30" t="s">
        <v>921</v>
      </c>
      <c r="K15" s="30" t="s">
        <v>924</v>
      </c>
      <c r="L15" s="30" t="s">
        <v>926</v>
      </c>
      <c r="M15" s="30" t="s">
        <v>929</v>
      </c>
      <c r="N15" s="30" t="s">
        <v>932</v>
      </c>
      <c r="O15" s="31" t="s">
        <v>934</v>
      </c>
      <c r="P15" s="29" t="s">
        <v>937</v>
      </c>
      <c r="Q15" s="29" t="s">
        <v>940</v>
      </c>
      <c r="R15" s="39"/>
      <c r="S15" s="29" t="s">
        <v>943</v>
      </c>
      <c r="T15" s="39"/>
      <c r="U15" s="36" t="s">
        <v>948</v>
      </c>
      <c r="V15" s="36" t="s">
        <v>956</v>
      </c>
      <c r="W15" s="37" t="s">
        <v>958</v>
      </c>
      <c r="X15" s="39"/>
      <c r="Y15" s="41" t="s">
        <v>960</v>
      </c>
      <c r="Z15" s="42"/>
      <c r="AA15" s="42"/>
    </row>
    <row r="16" ht="81.0" customHeight="1">
      <c r="A16" s="39"/>
      <c r="B16" s="29" t="s">
        <v>510</v>
      </c>
      <c r="C16" s="29" t="s">
        <v>825</v>
      </c>
      <c r="D16" s="35">
        <v>14.0</v>
      </c>
      <c r="E16" s="29" t="s">
        <v>775</v>
      </c>
      <c r="F16" s="29" t="s">
        <v>976</v>
      </c>
      <c r="G16" s="39"/>
      <c r="H16" s="39"/>
      <c r="I16" s="29" t="s">
        <v>16</v>
      </c>
      <c r="J16" s="30" t="s">
        <v>980</v>
      </c>
      <c r="K16" s="30" t="s">
        <v>983</v>
      </c>
      <c r="L16" s="30" t="s">
        <v>986</v>
      </c>
      <c r="M16" s="30" t="s">
        <v>988</v>
      </c>
      <c r="N16" s="30" t="s">
        <v>992</v>
      </c>
      <c r="O16" s="31" t="s">
        <v>995</v>
      </c>
      <c r="P16" s="29" t="s">
        <v>996</v>
      </c>
      <c r="Q16" s="29" t="s">
        <v>998</v>
      </c>
      <c r="R16" s="39"/>
      <c r="S16" s="29" t="s">
        <v>1001</v>
      </c>
      <c r="T16" s="39"/>
      <c r="U16" s="36" t="s">
        <v>1003</v>
      </c>
      <c r="V16" s="36" t="s">
        <v>1010</v>
      </c>
      <c r="W16" s="37" t="s">
        <v>1014</v>
      </c>
      <c r="X16" s="39"/>
      <c r="Y16" s="41" t="s">
        <v>1016</v>
      </c>
      <c r="Z16" s="42"/>
      <c r="AA16" s="42"/>
    </row>
    <row r="17" ht="81.0" customHeight="1">
      <c r="A17" s="39"/>
      <c r="B17" s="29" t="s">
        <v>510</v>
      </c>
      <c r="C17" s="29" t="s">
        <v>1018</v>
      </c>
      <c r="D17" s="35">
        <v>15.0</v>
      </c>
      <c r="E17" s="29" t="s">
        <v>698</v>
      </c>
      <c r="F17" s="29" t="s">
        <v>1020</v>
      </c>
      <c r="G17" s="39"/>
      <c r="H17" s="39"/>
      <c r="I17" s="29" t="s">
        <v>16</v>
      </c>
      <c r="J17" s="30" t="s">
        <v>1022</v>
      </c>
      <c r="K17" s="30" t="s">
        <v>1025</v>
      </c>
      <c r="L17" s="30" t="s">
        <v>1027</v>
      </c>
      <c r="M17" s="30" t="s">
        <v>1029</v>
      </c>
      <c r="N17" s="30" t="s">
        <v>1031</v>
      </c>
      <c r="O17" s="31" t="s">
        <v>1033</v>
      </c>
      <c r="P17" s="29" t="s">
        <v>1036</v>
      </c>
      <c r="Q17" s="29" t="s">
        <v>1039</v>
      </c>
      <c r="R17" s="39"/>
      <c r="S17" s="29" t="s">
        <v>1043</v>
      </c>
      <c r="T17" s="39"/>
      <c r="U17" s="36" t="s">
        <v>1046</v>
      </c>
      <c r="V17" s="36" t="s">
        <v>1050</v>
      </c>
      <c r="W17" s="37" t="s">
        <v>1053</v>
      </c>
      <c r="X17" s="39"/>
      <c r="Y17" s="41" t="s">
        <v>1056</v>
      </c>
      <c r="Z17" s="42"/>
      <c r="AA17" s="42"/>
    </row>
    <row r="18" ht="81.0" customHeight="1">
      <c r="A18" s="39"/>
      <c r="B18" s="29" t="s">
        <v>510</v>
      </c>
      <c r="C18" s="29" t="s">
        <v>1018</v>
      </c>
      <c r="D18" s="35">
        <v>16.0</v>
      </c>
      <c r="E18" s="29" t="s">
        <v>729</v>
      </c>
      <c r="F18" s="29" t="s">
        <v>1064</v>
      </c>
      <c r="G18" s="39"/>
      <c r="H18" s="39"/>
      <c r="I18" s="29" t="s">
        <v>68</v>
      </c>
      <c r="J18" s="30" t="s">
        <v>1067</v>
      </c>
      <c r="K18" s="30" t="s">
        <v>1068</v>
      </c>
      <c r="L18" s="30" t="s">
        <v>1070</v>
      </c>
      <c r="M18" s="30" t="s">
        <v>1072</v>
      </c>
      <c r="N18" s="30" t="s">
        <v>1074</v>
      </c>
      <c r="O18" s="31" t="s">
        <v>1076</v>
      </c>
      <c r="P18" s="29" t="s">
        <v>1079</v>
      </c>
      <c r="Q18" s="29" t="s">
        <v>1080</v>
      </c>
      <c r="R18" s="39"/>
      <c r="S18" s="29" t="s">
        <v>1083</v>
      </c>
      <c r="T18" s="39"/>
      <c r="U18" s="36" t="s">
        <v>1085</v>
      </c>
      <c r="V18" s="36" t="s">
        <v>1099</v>
      </c>
      <c r="W18" s="37" t="s">
        <v>1103</v>
      </c>
      <c r="X18" s="39"/>
      <c r="Y18" s="41" t="s">
        <v>1106</v>
      </c>
      <c r="Z18" s="42"/>
      <c r="AA18" s="42"/>
    </row>
    <row r="19" ht="81.0" customHeight="1">
      <c r="A19" s="21"/>
      <c r="B19" s="29" t="s">
        <v>510</v>
      </c>
      <c r="C19" s="29" t="s">
        <v>1018</v>
      </c>
      <c r="D19" s="35">
        <v>17.0</v>
      </c>
      <c r="E19" s="29" t="s">
        <v>775</v>
      </c>
      <c r="F19" s="29" t="s">
        <v>1118</v>
      </c>
      <c r="G19" s="21"/>
      <c r="H19" s="21"/>
      <c r="I19" s="29" t="s">
        <v>16</v>
      </c>
      <c r="J19" s="30" t="s">
        <v>1127</v>
      </c>
      <c r="K19" s="30" t="s">
        <v>1130</v>
      </c>
      <c r="L19" s="30" t="s">
        <v>1132</v>
      </c>
      <c r="M19" s="30" t="s">
        <v>1134</v>
      </c>
      <c r="N19" s="30" t="s">
        <v>1136</v>
      </c>
      <c r="O19" s="31" t="s">
        <v>1138</v>
      </c>
      <c r="P19" s="29" t="s">
        <v>1140</v>
      </c>
      <c r="Q19" s="29" t="s">
        <v>1142</v>
      </c>
      <c r="R19" s="21"/>
      <c r="S19" s="29" t="s">
        <v>1147</v>
      </c>
      <c r="T19" s="21"/>
      <c r="U19" s="36" t="s">
        <v>1153</v>
      </c>
      <c r="V19" s="36" t="s">
        <v>1164</v>
      </c>
      <c r="W19" s="37" t="s">
        <v>1170</v>
      </c>
      <c r="X19" s="21"/>
      <c r="Y19" s="41" t="s">
        <v>1173</v>
      </c>
      <c r="Z19" s="42"/>
      <c r="AA19" s="42"/>
    </row>
    <row r="20" ht="81.0" customHeight="1">
      <c r="A20" s="34" t="s">
        <v>437</v>
      </c>
      <c r="B20" s="29" t="s">
        <v>1185</v>
      </c>
      <c r="C20" s="29" t="s">
        <v>1187</v>
      </c>
      <c r="D20" s="35">
        <v>18.0</v>
      </c>
      <c r="E20" s="29" t="s">
        <v>698</v>
      </c>
      <c r="F20" s="29" t="s">
        <v>1189</v>
      </c>
      <c r="G20" s="38" t="s">
        <v>1192</v>
      </c>
      <c r="H20" s="38" t="s">
        <v>1199</v>
      </c>
      <c r="I20" s="29" t="s">
        <v>16</v>
      </c>
      <c r="J20" s="30" t="s">
        <v>1202</v>
      </c>
      <c r="K20" s="30" t="s">
        <v>1203</v>
      </c>
      <c r="L20" s="30" t="s">
        <v>1204</v>
      </c>
      <c r="M20" s="30" t="s">
        <v>1206</v>
      </c>
      <c r="N20" s="30" t="s">
        <v>1207</v>
      </c>
      <c r="O20" s="31" t="s">
        <v>1209</v>
      </c>
      <c r="P20" s="29" t="s">
        <v>1210</v>
      </c>
      <c r="Q20" s="29" t="s">
        <v>1212</v>
      </c>
      <c r="R20" s="38" t="s">
        <v>1213</v>
      </c>
      <c r="S20" s="29" t="s">
        <v>1217</v>
      </c>
      <c r="T20" s="38" t="s">
        <v>1218</v>
      </c>
      <c r="U20" s="36" t="s">
        <v>1222</v>
      </c>
      <c r="V20" s="36" t="s">
        <v>1228</v>
      </c>
      <c r="W20" s="37" t="s">
        <v>1230</v>
      </c>
      <c r="X20" s="38" t="s">
        <v>1231</v>
      </c>
      <c r="Y20" s="41" t="s">
        <v>1236</v>
      </c>
      <c r="Z20" s="42"/>
      <c r="AA20" s="42"/>
    </row>
    <row r="21" ht="81.0" customHeight="1">
      <c r="A21" s="39"/>
      <c r="B21" s="29" t="s">
        <v>1185</v>
      </c>
      <c r="C21" s="29" t="s">
        <v>1187</v>
      </c>
      <c r="D21" s="35">
        <v>19.0</v>
      </c>
      <c r="E21" s="29" t="s">
        <v>729</v>
      </c>
      <c r="F21" s="29" t="s">
        <v>1238</v>
      </c>
      <c r="G21" s="39"/>
      <c r="H21" s="39"/>
      <c r="I21" s="29" t="s">
        <v>46</v>
      </c>
      <c r="J21" s="30" t="s">
        <v>1240</v>
      </c>
      <c r="K21" s="30" t="s">
        <v>1242</v>
      </c>
      <c r="L21" s="30" t="s">
        <v>1243</v>
      </c>
      <c r="M21" s="30" t="s">
        <v>1245</v>
      </c>
      <c r="N21" s="30" t="s">
        <v>1246</v>
      </c>
      <c r="O21" s="31" t="s">
        <v>1247</v>
      </c>
      <c r="P21" s="29" t="s">
        <v>1249</v>
      </c>
      <c r="Q21" s="29" t="s">
        <v>1250</v>
      </c>
      <c r="R21" s="39"/>
      <c r="S21" s="29" t="s">
        <v>1252</v>
      </c>
      <c r="T21" s="39"/>
      <c r="U21" s="36" t="s">
        <v>1253</v>
      </c>
      <c r="V21" s="36" t="s">
        <v>1255</v>
      </c>
      <c r="W21" s="37" t="s">
        <v>1256</v>
      </c>
      <c r="X21" s="39"/>
      <c r="Y21" s="41" t="s">
        <v>1257</v>
      </c>
      <c r="Z21" s="42"/>
      <c r="AA21" s="42"/>
    </row>
    <row r="22" ht="47.25" customHeight="1">
      <c r="A22" s="39"/>
      <c r="B22" s="29" t="s">
        <v>1185</v>
      </c>
      <c r="C22" s="29" t="s">
        <v>1187</v>
      </c>
      <c r="D22" s="35">
        <v>20.0</v>
      </c>
      <c r="E22" s="29" t="s">
        <v>775</v>
      </c>
      <c r="F22" s="29" t="s">
        <v>1259</v>
      </c>
      <c r="G22" s="39"/>
      <c r="H22" s="39"/>
      <c r="I22" s="29" t="s">
        <v>16</v>
      </c>
      <c r="J22" s="30" t="s">
        <v>1261</v>
      </c>
      <c r="K22" s="30" t="s">
        <v>1263</v>
      </c>
      <c r="L22" s="30" t="s">
        <v>1264</v>
      </c>
      <c r="M22" s="30" t="s">
        <v>1266</v>
      </c>
      <c r="N22" s="30" t="s">
        <v>1267</v>
      </c>
      <c r="O22" s="31" t="s">
        <v>1269</v>
      </c>
      <c r="P22" s="29" t="s">
        <v>1271</v>
      </c>
      <c r="Q22" s="29" t="s">
        <v>1273</v>
      </c>
      <c r="R22" s="39"/>
      <c r="S22" s="29" t="s">
        <v>1275</v>
      </c>
      <c r="T22" s="39"/>
      <c r="U22" s="36" t="s">
        <v>1277</v>
      </c>
      <c r="V22" s="36" t="s">
        <v>1280</v>
      </c>
      <c r="W22" s="37" t="s">
        <v>1281</v>
      </c>
      <c r="X22" s="39"/>
      <c r="Y22" s="41" t="s">
        <v>1282</v>
      </c>
      <c r="Z22" s="42"/>
      <c r="AA22" s="42"/>
    </row>
    <row r="23" ht="65.25" customHeight="1">
      <c r="A23" s="39"/>
      <c r="B23" s="29" t="s">
        <v>1185</v>
      </c>
      <c r="C23" s="29" t="s">
        <v>1283</v>
      </c>
      <c r="D23" s="35">
        <v>21.0</v>
      </c>
      <c r="E23" s="29" t="s">
        <v>1285</v>
      </c>
      <c r="F23" s="29" t="s">
        <v>1286</v>
      </c>
      <c r="G23" s="39"/>
      <c r="H23" s="39"/>
      <c r="I23" s="29" t="s">
        <v>16</v>
      </c>
      <c r="J23" s="30" t="s">
        <v>1287</v>
      </c>
      <c r="K23" s="30" t="s">
        <v>1288</v>
      </c>
      <c r="L23" s="30" t="s">
        <v>1289</v>
      </c>
      <c r="M23" s="30" t="s">
        <v>1290</v>
      </c>
      <c r="N23" s="30" t="s">
        <v>1292</v>
      </c>
      <c r="O23" s="31" t="s">
        <v>1293</v>
      </c>
      <c r="P23" s="29" t="s">
        <v>1295</v>
      </c>
      <c r="Q23" s="29" t="s">
        <v>1296</v>
      </c>
      <c r="R23" s="39"/>
      <c r="S23" s="29" t="s">
        <v>1297</v>
      </c>
      <c r="T23" s="39"/>
      <c r="U23" s="36" t="s">
        <v>1299</v>
      </c>
      <c r="V23" s="36" t="s">
        <v>1302</v>
      </c>
      <c r="W23" s="37" t="s">
        <v>1305</v>
      </c>
      <c r="X23" s="39"/>
      <c r="Y23" s="41" t="s">
        <v>1306</v>
      </c>
      <c r="Z23" s="42"/>
      <c r="AA23" s="42"/>
    </row>
    <row r="24">
      <c r="A24" s="39"/>
      <c r="B24" s="29" t="s">
        <v>1185</v>
      </c>
      <c r="C24" s="29" t="s">
        <v>1283</v>
      </c>
      <c r="D24" s="35">
        <v>22.0</v>
      </c>
      <c r="E24" s="29" t="s">
        <v>1310</v>
      </c>
      <c r="F24" s="51" t="s">
        <v>1312</v>
      </c>
      <c r="G24" s="39"/>
      <c r="H24" s="39"/>
      <c r="I24" s="29" t="s">
        <v>46</v>
      </c>
      <c r="J24" s="30" t="s">
        <v>1317</v>
      </c>
      <c r="K24" s="30" t="s">
        <v>1318</v>
      </c>
      <c r="L24" s="30" t="s">
        <v>1320</v>
      </c>
      <c r="M24" s="30" t="s">
        <v>1321</v>
      </c>
      <c r="N24" s="30" t="s">
        <v>1323</v>
      </c>
      <c r="O24" s="31" t="s">
        <v>1324</v>
      </c>
      <c r="P24" s="29" t="s">
        <v>1325</v>
      </c>
      <c r="Q24" s="29" t="s">
        <v>1326</v>
      </c>
      <c r="R24" s="39"/>
      <c r="S24" s="29" t="s">
        <v>1327</v>
      </c>
      <c r="T24" s="39"/>
      <c r="U24" s="36" t="s">
        <v>1329</v>
      </c>
      <c r="V24" s="36" t="s">
        <v>1332</v>
      </c>
      <c r="W24" s="37" t="s">
        <v>1334</v>
      </c>
      <c r="X24" s="39"/>
      <c r="Y24" s="41" t="s">
        <v>1335</v>
      </c>
      <c r="Z24" s="42"/>
      <c r="AA24" s="42"/>
    </row>
    <row r="25">
      <c r="A25" s="39"/>
      <c r="B25" s="29" t="s">
        <v>1185</v>
      </c>
      <c r="C25" s="29" t="s">
        <v>1283</v>
      </c>
      <c r="D25" s="35">
        <v>23.0</v>
      </c>
      <c r="E25" s="29" t="s">
        <v>1310</v>
      </c>
      <c r="F25" s="51" t="s">
        <v>1339</v>
      </c>
      <c r="G25" s="39"/>
      <c r="H25" s="39"/>
      <c r="I25" s="29" t="s">
        <v>16</v>
      </c>
      <c r="J25" s="30" t="s">
        <v>1342</v>
      </c>
      <c r="K25" s="30" t="s">
        <v>1344</v>
      </c>
      <c r="L25" s="30" t="s">
        <v>1346</v>
      </c>
      <c r="M25" s="30" t="s">
        <v>1348</v>
      </c>
      <c r="N25" s="30" t="s">
        <v>1350</v>
      </c>
      <c r="O25" s="31" t="s">
        <v>1352</v>
      </c>
      <c r="P25" s="29" t="s">
        <v>1354</v>
      </c>
      <c r="Q25" s="29" t="s">
        <v>1356</v>
      </c>
      <c r="R25" s="39"/>
      <c r="S25" s="29" t="s">
        <v>1357</v>
      </c>
      <c r="T25" s="39"/>
      <c r="U25" s="36" t="s">
        <v>1359</v>
      </c>
      <c r="V25" s="36" t="s">
        <v>1360</v>
      </c>
      <c r="W25" s="37" t="s">
        <v>1362</v>
      </c>
      <c r="X25" s="39"/>
      <c r="Y25" s="41" t="s">
        <v>1363</v>
      </c>
      <c r="Z25" s="42"/>
      <c r="AA25" s="42"/>
    </row>
    <row r="26" ht="75.0" customHeight="1">
      <c r="A26" s="39"/>
      <c r="B26" s="29" t="s">
        <v>1185</v>
      </c>
      <c r="C26" s="29" t="s">
        <v>1364</v>
      </c>
      <c r="D26" s="35">
        <v>24.0</v>
      </c>
      <c r="E26" s="29" t="s">
        <v>1366</v>
      </c>
      <c r="F26" s="51" t="s">
        <v>1368</v>
      </c>
      <c r="G26" s="39"/>
      <c r="H26" s="39"/>
      <c r="I26" s="29" t="s">
        <v>68</v>
      </c>
      <c r="J26" s="30" t="s">
        <v>1371</v>
      </c>
      <c r="K26" s="30" t="s">
        <v>1374</v>
      </c>
      <c r="L26" s="30" t="s">
        <v>1376</v>
      </c>
      <c r="M26" s="30" t="s">
        <v>1377</v>
      </c>
      <c r="N26" s="30" t="s">
        <v>1378</v>
      </c>
      <c r="O26" s="31" t="s">
        <v>1380</v>
      </c>
      <c r="P26" s="29" t="s">
        <v>1381</v>
      </c>
      <c r="Q26" s="29" t="s">
        <v>1384</v>
      </c>
      <c r="R26" s="39"/>
      <c r="S26" s="29" t="s">
        <v>1388</v>
      </c>
      <c r="T26" s="39"/>
      <c r="U26" s="36" t="s">
        <v>1392</v>
      </c>
      <c r="V26" s="36" t="s">
        <v>1396</v>
      </c>
      <c r="W26" s="37" t="s">
        <v>1398</v>
      </c>
      <c r="X26" s="39"/>
      <c r="Y26" s="41" t="s">
        <v>1399</v>
      </c>
      <c r="Z26" s="42"/>
      <c r="AA26" s="42"/>
    </row>
    <row r="27">
      <c r="A27" s="21"/>
      <c r="B27" s="29" t="s">
        <v>1185</v>
      </c>
      <c r="C27" s="29" t="s">
        <v>1364</v>
      </c>
      <c r="D27" s="35">
        <v>25.0</v>
      </c>
      <c r="E27" s="51" t="s">
        <v>1403</v>
      </c>
      <c r="F27" s="51" t="s">
        <v>1404</v>
      </c>
      <c r="G27" s="21"/>
      <c r="H27" s="21"/>
      <c r="I27" s="29" t="s">
        <v>16</v>
      </c>
      <c r="J27" s="30" t="s">
        <v>1407</v>
      </c>
      <c r="K27" s="30" t="s">
        <v>1409</v>
      </c>
      <c r="L27" s="30" t="s">
        <v>1413</v>
      </c>
      <c r="M27" s="30" t="s">
        <v>1414</v>
      </c>
      <c r="N27" s="30" t="s">
        <v>1415</v>
      </c>
      <c r="O27" s="31" t="s">
        <v>1416</v>
      </c>
      <c r="P27" s="29" t="s">
        <v>1417</v>
      </c>
      <c r="Q27" s="29" t="s">
        <v>1419</v>
      </c>
      <c r="R27" s="21"/>
      <c r="S27" s="29" t="s">
        <v>1423</v>
      </c>
      <c r="T27" s="21"/>
      <c r="U27" s="36" t="s">
        <v>1426</v>
      </c>
      <c r="V27" s="36" t="s">
        <v>1428</v>
      </c>
      <c r="W27" s="37" t="s">
        <v>1429</v>
      </c>
      <c r="X27" s="21"/>
      <c r="Y27" s="41" t="s">
        <v>1430</v>
      </c>
      <c r="Z27" s="42"/>
      <c r="AA27" s="42"/>
    </row>
    <row r="28" ht="52.5" customHeight="1">
      <c r="A28" s="23"/>
      <c r="B28" s="29" t="s">
        <v>1185</v>
      </c>
      <c r="C28" s="29" t="s">
        <v>1439</v>
      </c>
      <c r="D28" s="35">
        <v>26.0</v>
      </c>
      <c r="E28" s="29" t="s">
        <v>1443</v>
      </c>
      <c r="F28" s="51" t="s">
        <v>1444</v>
      </c>
      <c r="G28" s="28"/>
      <c r="H28" s="28"/>
      <c r="I28" s="29" t="s">
        <v>16</v>
      </c>
      <c r="J28" s="30" t="s">
        <v>1450</v>
      </c>
      <c r="K28" s="30" t="s">
        <v>1451</v>
      </c>
      <c r="L28" s="30" t="s">
        <v>1452</v>
      </c>
      <c r="M28" s="30" t="s">
        <v>1454</v>
      </c>
      <c r="N28" s="30" t="s">
        <v>1455</v>
      </c>
      <c r="O28" s="31" t="s">
        <v>1457</v>
      </c>
      <c r="P28" s="29" t="s">
        <v>1458</v>
      </c>
      <c r="Q28" s="29" t="s">
        <v>1459</v>
      </c>
      <c r="R28" s="32"/>
      <c r="S28" s="29" t="s">
        <v>1464</v>
      </c>
      <c r="T28" s="32"/>
      <c r="U28" s="36" t="s">
        <v>1468</v>
      </c>
      <c r="V28" s="36" t="s">
        <v>1473</v>
      </c>
      <c r="W28" s="37" t="s">
        <v>1476</v>
      </c>
      <c r="X28" s="32"/>
      <c r="Y28" s="41" t="s">
        <v>1478</v>
      </c>
      <c r="Z28" s="42"/>
      <c r="AA28" s="42"/>
    </row>
    <row r="29" ht="65.25" customHeight="1">
      <c r="A29" s="21"/>
      <c r="B29" s="25" t="s">
        <v>1485</v>
      </c>
      <c r="C29" s="25" t="s">
        <v>1487</v>
      </c>
      <c r="D29" s="26">
        <v>27.0</v>
      </c>
      <c r="E29" s="25" t="s">
        <v>1491</v>
      </c>
      <c r="F29" s="40" t="s">
        <v>1493</v>
      </c>
      <c r="G29" s="21"/>
      <c r="H29" s="21"/>
      <c r="I29" s="29" t="s">
        <v>46</v>
      </c>
      <c r="J29" s="30" t="s">
        <v>1496</v>
      </c>
      <c r="K29" s="30" t="s">
        <v>1498</v>
      </c>
      <c r="L29" s="30" t="s">
        <v>1500</v>
      </c>
      <c r="M29" s="30" t="s">
        <v>1501</v>
      </c>
      <c r="N29" s="30" t="s">
        <v>1503</v>
      </c>
      <c r="O29" s="31" t="s">
        <v>1505</v>
      </c>
      <c r="P29" s="29" t="s">
        <v>1507</v>
      </c>
      <c r="Q29" s="29" t="s">
        <v>1509</v>
      </c>
      <c r="R29" s="21"/>
      <c r="S29" s="33" t="s">
        <v>1515</v>
      </c>
      <c r="T29" s="21"/>
      <c r="U29" s="36" t="s">
        <v>1524</v>
      </c>
      <c r="V29" s="36" t="s">
        <v>1531</v>
      </c>
      <c r="W29" s="37" t="s">
        <v>1534</v>
      </c>
      <c r="X29" s="21"/>
      <c r="Y29" s="33" t="s">
        <v>1538</v>
      </c>
      <c r="Z29" s="42"/>
      <c r="AA29" s="42"/>
    </row>
    <row r="30" ht="70.5" customHeight="1">
      <c r="A30" s="42"/>
      <c r="B30" s="25" t="s">
        <v>1485</v>
      </c>
      <c r="C30" s="25" t="s">
        <v>1540</v>
      </c>
      <c r="D30" s="26">
        <v>28.0</v>
      </c>
      <c r="E30" s="25" t="s">
        <v>1541</v>
      </c>
      <c r="F30" s="40" t="s">
        <v>1543</v>
      </c>
      <c r="G30" s="42"/>
      <c r="H30" s="42"/>
      <c r="I30" s="29" t="s">
        <v>16</v>
      </c>
      <c r="J30" s="30" t="s">
        <v>1545</v>
      </c>
      <c r="K30" s="30" t="s">
        <v>1546</v>
      </c>
      <c r="L30" s="30" t="s">
        <v>1547</v>
      </c>
      <c r="M30" s="30" t="s">
        <v>1548</v>
      </c>
      <c r="N30" s="30" t="s">
        <v>1549</v>
      </c>
      <c r="O30" s="31" t="s">
        <v>1550</v>
      </c>
      <c r="P30" s="29" t="s">
        <v>1552</v>
      </c>
      <c r="Q30" s="29" t="s">
        <v>1553</v>
      </c>
      <c r="R30" s="42"/>
      <c r="S30" s="33" t="s">
        <v>1554</v>
      </c>
      <c r="T30" s="42"/>
      <c r="U30" s="36" t="s">
        <v>1557</v>
      </c>
      <c r="V30" s="36" t="s">
        <v>1563</v>
      </c>
      <c r="W30" s="37" t="s">
        <v>1566</v>
      </c>
      <c r="X30" s="42"/>
      <c r="Y30" s="33" t="s">
        <v>1569</v>
      </c>
      <c r="Z30" s="42"/>
      <c r="AA30" s="42"/>
    </row>
    <row r="31" ht="63.0" customHeight="1">
      <c r="B31" s="25" t="s">
        <v>1485</v>
      </c>
      <c r="C31" s="25" t="s">
        <v>1572</v>
      </c>
      <c r="D31" s="26">
        <v>29.0</v>
      </c>
      <c r="E31" s="25" t="s">
        <v>1574</v>
      </c>
      <c r="F31" s="40" t="s">
        <v>1575</v>
      </c>
      <c r="I31" s="29" t="s">
        <v>16</v>
      </c>
      <c r="J31" s="30" t="s">
        <v>1577</v>
      </c>
      <c r="K31" s="30" t="s">
        <v>1578</v>
      </c>
      <c r="L31" s="30" t="s">
        <v>1579</v>
      </c>
      <c r="M31" s="30" t="s">
        <v>1580</v>
      </c>
      <c r="N31" s="30" t="s">
        <v>1582</v>
      </c>
      <c r="O31" s="31" t="s">
        <v>1584</v>
      </c>
      <c r="P31" s="29" t="s">
        <v>1586</v>
      </c>
      <c r="Q31" s="29" t="s">
        <v>1588</v>
      </c>
      <c r="S31" s="33" t="s">
        <v>1591</v>
      </c>
      <c r="U31" s="36" t="s">
        <v>1592</v>
      </c>
      <c r="V31" s="36" t="s">
        <v>1596</v>
      </c>
      <c r="W31" s="37" t="s">
        <v>1597</v>
      </c>
      <c r="Y31" s="33" t="s">
        <v>1599</v>
      </c>
      <c r="Z31" s="42"/>
      <c r="AA31" s="42"/>
    </row>
    <row r="32" ht="69.75" customHeight="1">
      <c r="B32" s="25" t="s">
        <v>1485</v>
      </c>
      <c r="C32" s="25" t="s">
        <v>1572</v>
      </c>
      <c r="D32" s="26">
        <v>30.0</v>
      </c>
      <c r="E32" s="25" t="s">
        <v>1604</v>
      </c>
      <c r="F32" s="40" t="s">
        <v>1606</v>
      </c>
      <c r="I32" s="29" t="s">
        <v>68</v>
      </c>
      <c r="J32" s="30" t="s">
        <v>1608</v>
      </c>
      <c r="K32" s="30" t="s">
        <v>1610</v>
      </c>
      <c r="L32" s="30" t="s">
        <v>1612</v>
      </c>
      <c r="M32" s="30" t="s">
        <v>1617</v>
      </c>
      <c r="N32" s="30" t="s">
        <v>1619</v>
      </c>
      <c r="O32" s="31" t="s">
        <v>1622</v>
      </c>
      <c r="P32" s="29" t="s">
        <v>1626</v>
      </c>
      <c r="Q32" s="29" t="s">
        <v>1630</v>
      </c>
      <c r="S32" s="33" t="s">
        <v>1631</v>
      </c>
      <c r="U32" s="36" t="s">
        <v>1633</v>
      </c>
      <c r="V32" s="36" t="s">
        <v>1636</v>
      </c>
      <c r="W32" s="37" t="s">
        <v>1638</v>
      </c>
      <c r="Y32" s="33" t="s">
        <v>1640</v>
      </c>
      <c r="Z32" s="42"/>
      <c r="AA32" s="42"/>
    </row>
    <row r="33" ht="88.5" customHeight="1">
      <c r="B33" s="25" t="s">
        <v>1485</v>
      </c>
      <c r="C33" s="25" t="s">
        <v>1643</v>
      </c>
      <c r="D33" s="26">
        <v>31.0</v>
      </c>
      <c r="E33" s="25" t="s">
        <v>1645</v>
      </c>
      <c r="F33" s="40" t="s">
        <v>1646</v>
      </c>
      <c r="I33" s="29" t="s">
        <v>46</v>
      </c>
      <c r="J33" s="30" t="s">
        <v>1648</v>
      </c>
      <c r="K33" s="30" t="s">
        <v>1650</v>
      </c>
      <c r="L33" s="30" t="s">
        <v>1652</v>
      </c>
      <c r="M33" s="30" t="s">
        <v>1654</v>
      </c>
      <c r="N33" s="30" t="s">
        <v>1659</v>
      </c>
      <c r="O33" s="31" t="s">
        <v>1661</v>
      </c>
      <c r="P33" s="29" t="s">
        <v>1664</v>
      </c>
      <c r="Q33" s="29" t="s">
        <v>1666</v>
      </c>
      <c r="S33" s="33" t="s">
        <v>1668</v>
      </c>
      <c r="U33" s="36" t="s">
        <v>1672</v>
      </c>
      <c r="V33" s="36" t="s">
        <v>1677</v>
      </c>
      <c r="W33" s="37" t="s">
        <v>1678</v>
      </c>
      <c r="Y33" s="33" t="s">
        <v>1679</v>
      </c>
      <c r="Z33" s="42"/>
      <c r="AA33" s="42"/>
    </row>
    <row r="34" ht="56.25" customHeight="1">
      <c r="B34" s="25" t="s">
        <v>1485</v>
      </c>
      <c r="C34" s="25" t="s">
        <v>1643</v>
      </c>
      <c r="D34" s="26">
        <v>32.0</v>
      </c>
      <c r="E34" s="25" t="s">
        <v>1683</v>
      </c>
      <c r="F34" s="40" t="s">
        <v>1684</v>
      </c>
      <c r="I34" s="29" t="s">
        <v>46</v>
      </c>
      <c r="J34" s="30" t="s">
        <v>1689</v>
      </c>
      <c r="K34" s="30" t="s">
        <v>1690</v>
      </c>
      <c r="L34" s="30" t="s">
        <v>1692</v>
      </c>
      <c r="M34" s="30" t="s">
        <v>1694</v>
      </c>
      <c r="N34" s="30" t="s">
        <v>1695</v>
      </c>
      <c r="O34" s="31" t="s">
        <v>1696</v>
      </c>
      <c r="P34" s="29" t="s">
        <v>1697</v>
      </c>
      <c r="Q34" s="29" t="s">
        <v>1699</v>
      </c>
      <c r="S34" s="33" t="s">
        <v>1701</v>
      </c>
      <c r="U34" s="36" t="s">
        <v>1702</v>
      </c>
      <c r="V34" s="36" t="s">
        <v>1710</v>
      </c>
      <c r="W34" s="37" t="s">
        <v>1711</v>
      </c>
      <c r="Y34" s="33" t="s">
        <v>1713</v>
      </c>
      <c r="Z34" s="42"/>
      <c r="AA34" s="42"/>
    </row>
    <row r="35" ht="65.25" customHeight="1">
      <c r="A35" s="42"/>
      <c r="B35" s="25" t="s">
        <v>1716</v>
      </c>
      <c r="C35" s="25" t="s">
        <v>1717</v>
      </c>
      <c r="D35" s="26">
        <v>33.0</v>
      </c>
      <c r="E35" s="25" t="s">
        <v>1720</v>
      </c>
      <c r="F35" s="40" t="s">
        <v>1723</v>
      </c>
      <c r="G35" s="42"/>
      <c r="H35" s="42"/>
      <c r="I35" s="29" t="s">
        <v>16</v>
      </c>
      <c r="J35" s="30" t="s">
        <v>1732</v>
      </c>
      <c r="K35" s="30" t="s">
        <v>1734</v>
      </c>
      <c r="L35" s="30" t="s">
        <v>1736</v>
      </c>
      <c r="M35" s="30" t="s">
        <v>1737</v>
      </c>
      <c r="N35" s="30" t="s">
        <v>1738</v>
      </c>
      <c r="O35" s="31" t="s">
        <v>1740</v>
      </c>
      <c r="P35" s="29" t="s">
        <v>1741</v>
      </c>
      <c r="Q35" s="29" t="s">
        <v>1742</v>
      </c>
      <c r="R35" s="42"/>
      <c r="S35" s="33" t="s">
        <v>1743</v>
      </c>
      <c r="T35" s="42"/>
      <c r="U35" s="36" t="s">
        <v>1746</v>
      </c>
      <c r="V35" s="36" t="s">
        <v>1752</v>
      </c>
      <c r="W35" s="37" t="s">
        <v>1753</v>
      </c>
      <c r="X35" s="42"/>
      <c r="Y35" s="33" t="s">
        <v>1757</v>
      </c>
      <c r="Z35" s="42"/>
      <c r="AA35" s="42"/>
    </row>
    <row r="36" ht="54.0" customHeight="1">
      <c r="A36" s="42"/>
      <c r="B36" s="25" t="s">
        <v>1716</v>
      </c>
      <c r="C36" s="25" t="s">
        <v>1761</v>
      </c>
      <c r="D36" s="26">
        <v>34.0</v>
      </c>
      <c r="E36" s="25" t="s">
        <v>1764</v>
      </c>
      <c r="F36" s="40" t="s">
        <v>1766</v>
      </c>
      <c r="G36" s="42"/>
      <c r="H36" s="42"/>
      <c r="I36" s="29" t="s">
        <v>16</v>
      </c>
      <c r="J36" s="30" t="s">
        <v>1768</v>
      </c>
      <c r="K36" s="30" t="s">
        <v>1770</v>
      </c>
      <c r="L36" s="30" t="s">
        <v>1772</v>
      </c>
      <c r="M36" s="30" t="s">
        <v>1773</v>
      </c>
      <c r="N36" s="30" t="s">
        <v>1774</v>
      </c>
      <c r="O36" s="31" t="s">
        <v>1775</v>
      </c>
      <c r="P36" s="29" t="s">
        <v>1776</v>
      </c>
      <c r="Q36" s="29" t="s">
        <v>1778</v>
      </c>
      <c r="R36" s="42"/>
      <c r="S36" s="33" t="s">
        <v>1780</v>
      </c>
      <c r="T36" s="42"/>
      <c r="U36" s="36" t="s">
        <v>1784</v>
      </c>
      <c r="V36" s="36" t="s">
        <v>1792</v>
      </c>
      <c r="W36" s="37" t="s">
        <v>1795</v>
      </c>
      <c r="X36" s="42"/>
      <c r="Y36" s="33" t="s">
        <v>1797</v>
      </c>
      <c r="Z36" s="42"/>
      <c r="AA36" s="42"/>
    </row>
    <row r="37" ht="67.5" customHeight="1">
      <c r="A37" s="42"/>
      <c r="B37" s="25" t="s">
        <v>1716</v>
      </c>
      <c r="C37" s="25" t="s">
        <v>1799</v>
      </c>
      <c r="D37" s="26">
        <v>35.0</v>
      </c>
      <c r="E37" s="25" t="s">
        <v>1801</v>
      </c>
      <c r="F37" s="40" t="s">
        <v>1802</v>
      </c>
      <c r="G37" s="42"/>
      <c r="H37" s="42"/>
      <c r="I37" s="29" t="s">
        <v>46</v>
      </c>
      <c r="J37" s="30" t="s">
        <v>1804</v>
      </c>
      <c r="K37" s="30" t="s">
        <v>1806</v>
      </c>
      <c r="L37" s="30" t="s">
        <v>1808</v>
      </c>
      <c r="M37" s="30" t="s">
        <v>1810</v>
      </c>
      <c r="N37" s="30" t="s">
        <v>1811</v>
      </c>
      <c r="O37" s="31" t="s">
        <v>1813</v>
      </c>
      <c r="P37" s="29" t="s">
        <v>1815</v>
      </c>
      <c r="Q37" s="29" t="s">
        <v>1817</v>
      </c>
      <c r="R37" s="42"/>
      <c r="S37" s="33" t="s">
        <v>1819</v>
      </c>
      <c r="T37" s="42"/>
      <c r="U37" s="36" t="s">
        <v>1823</v>
      </c>
      <c r="V37" s="36" t="s">
        <v>1830</v>
      </c>
      <c r="W37" s="37" t="s">
        <v>1833</v>
      </c>
      <c r="X37" s="42"/>
      <c r="Y37" s="33" t="s">
        <v>1834</v>
      </c>
      <c r="Z37" s="42"/>
      <c r="AA37" s="42"/>
    </row>
    <row r="38" ht="52.5" customHeight="1">
      <c r="A38" s="42"/>
      <c r="B38" s="25" t="s">
        <v>1716</v>
      </c>
      <c r="C38" s="25" t="s">
        <v>1799</v>
      </c>
      <c r="D38" s="26">
        <v>36.0</v>
      </c>
      <c r="E38" s="25" t="s">
        <v>1836</v>
      </c>
      <c r="F38" s="40" t="s">
        <v>1838</v>
      </c>
      <c r="G38" s="42"/>
      <c r="H38" s="42"/>
      <c r="I38" s="29" t="s">
        <v>68</v>
      </c>
      <c r="J38" s="30" t="s">
        <v>1841</v>
      </c>
      <c r="K38" s="30" t="s">
        <v>1843</v>
      </c>
      <c r="L38" s="30" t="s">
        <v>1845</v>
      </c>
      <c r="M38" s="30" t="s">
        <v>1847</v>
      </c>
      <c r="N38" s="30" t="s">
        <v>1848</v>
      </c>
      <c r="O38" s="31" t="s">
        <v>1850</v>
      </c>
      <c r="P38" s="29" t="s">
        <v>1852</v>
      </c>
      <c r="Q38" s="29" t="s">
        <v>1854</v>
      </c>
      <c r="R38" s="42"/>
      <c r="S38" s="33" t="s">
        <v>1857</v>
      </c>
      <c r="T38" s="42"/>
      <c r="U38" s="36" t="s">
        <v>1862</v>
      </c>
      <c r="V38" s="36" t="s">
        <v>1865</v>
      </c>
      <c r="W38" s="37" t="s">
        <v>1866</v>
      </c>
      <c r="X38" s="42"/>
      <c r="Y38" s="33" t="s">
        <v>1868</v>
      </c>
      <c r="Z38" s="42"/>
      <c r="AA38" s="42"/>
    </row>
    <row r="39" ht="93.0" customHeight="1">
      <c r="A39" s="34" t="s">
        <v>1871</v>
      </c>
      <c r="B39" s="29" t="s">
        <v>1878</v>
      </c>
      <c r="C39" s="29" t="s">
        <v>1879</v>
      </c>
      <c r="D39" s="35">
        <v>37.0</v>
      </c>
      <c r="E39" s="29" t="s">
        <v>1881</v>
      </c>
      <c r="F39" s="29" t="s">
        <v>1882</v>
      </c>
      <c r="G39" s="38" t="s">
        <v>1883</v>
      </c>
      <c r="H39" s="38" t="s">
        <v>1885</v>
      </c>
      <c r="I39" s="29" t="s">
        <v>16</v>
      </c>
      <c r="J39" s="30" t="s">
        <v>1894</v>
      </c>
      <c r="K39" s="30" t="s">
        <v>1896</v>
      </c>
      <c r="L39" s="30" t="s">
        <v>1898</v>
      </c>
      <c r="M39" s="30" t="s">
        <v>1899</v>
      </c>
      <c r="N39" s="30" t="s">
        <v>1900</v>
      </c>
      <c r="O39" s="31" t="s">
        <v>1902</v>
      </c>
      <c r="P39" s="29" t="s">
        <v>1903</v>
      </c>
      <c r="Q39" s="29" t="s">
        <v>1905</v>
      </c>
      <c r="R39" s="38" t="s">
        <v>1906</v>
      </c>
      <c r="S39" s="29" t="s">
        <v>1908</v>
      </c>
      <c r="T39" s="38" t="s">
        <v>1910</v>
      </c>
      <c r="U39" s="36" t="s">
        <v>1913</v>
      </c>
      <c r="V39" s="36" t="s">
        <v>1915</v>
      </c>
      <c r="W39" s="37" t="s">
        <v>1917</v>
      </c>
      <c r="X39" s="38" t="s">
        <v>1920</v>
      </c>
      <c r="Y39" s="41" t="s">
        <v>1923</v>
      </c>
      <c r="Z39" s="42"/>
      <c r="AA39" s="42"/>
    </row>
    <row r="40" ht="58.5" customHeight="1">
      <c r="A40" s="39"/>
      <c r="B40" s="29" t="s">
        <v>1878</v>
      </c>
      <c r="C40" s="29" t="s">
        <v>1927</v>
      </c>
      <c r="D40" s="35">
        <v>38.0</v>
      </c>
      <c r="E40" s="29" t="s">
        <v>1930</v>
      </c>
      <c r="F40" s="51" t="s">
        <v>1932</v>
      </c>
      <c r="G40" s="39"/>
      <c r="H40" s="39"/>
      <c r="I40" s="29" t="s">
        <v>46</v>
      </c>
      <c r="J40" s="30" t="s">
        <v>1937</v>
      </c>
      <c r="K40" s="30" t="s">
        <v>1938</v>
      </c>
      <c r="L40" s="30" t="s">
        <v>1940</v>
      </c>
      <c r="M40" s="30" t="s">
        <v>1941</v>
      </c>
      <c r="N40" s="30" t="s">
        <v>1942</v>
      </c>
      <c r="O40" s="31" t="s">
        <v>1943</v>
      </c>
      <c r="P40" s="29" t="s">
        <v>1945</v>
      </c>
      <c r="Q40" s="29" t="s">
        <v>1947</v>
      </c>
      <c r="R40" s="39"/>
      <c r="S40" s="29" t="s">
        <v>1949</v>
      </c>
      <c r="T40" s="39"/>
      <c r="U40" s="36" t="s">
        <v>1953</v>
      </c>
      <c r="V40" s="36" t="s">
        <v>1963</v>
      </c>
      <c r="W40" s="37" t="s">
        <v>1965</v>
      </c>
      <c r="X40" s="39"/>
      <c r="Y40" s="41" t="s">
        <v>1966</v>
      </c>
      <c r="Z40" s="42"/>
      <c r="AA40" s="42"/>
    </row>
    <row r="41">
      <c r="A41" s="39"/>
      <c r="B41" s="29" t="s">
        <v>1878</v>
      </c>
      <c r="C41" s="29" t="s">
        <v>1927</v>
      </c>
      <c r="D41" s="35">
        <v>39.0</v>
      </c>
      <c r="E41" s="29" t="s">
        <v>1930</v>
      </c>
      <c r="F41" s="51" t="s">
        <v>1968</v>
      </c>
      <c r="G41" s="39"/>
      <c r="H41" s="39"/>
      <c r="I41" s="29" t="s">
        <v>46</v>
      </c>
      <c r="J41" s="30" t="s">
        <v>1969</v>
      </c>
      <c r="K41" s="30" t="s">
        <v>1971</v>
      </c>
      <c r="L41" s="30" t="s">
        <v>1973</v>
      </c>
      <c r="M41" s="30" t="s">
        <v>1974</v>
      </c>
      <c r="N41" s="30" t="s">
        <v>1976</v>
      </c>
      <c r="O41" s="31" t="s">
        <v>1977</v>
      </c>
      <c r="P41" s="29" t="s">
        <v>1978</v>
      </c>
      <c r="Q41" s="29" t="s">
        <v>1980</v>
      </c>
      <c r="R41" s="39"/>
      <c r="S41" s="29" t="s">
        <v>1982</v>
      </c>
      <c r="T41" s="39"/>
      <c r="U41" s="36" t="s">
        <v>1984</v>
      </c>
      <c r="V41" s="36" t="s">
        <v>1985</v>
      </c>
      <c r="W41" s="37" t="s">
        <v>1996</v>
      </c>
      <c r="X41" s="39"/>
      <c r="Y41" s="41" t="s">
        <v>1998</v>
      </c>
      <c r="Z41" s="42"/>
      <c r="AA41" s="42"/>
    </row>
    <row r="42" ht="55.5" customHeight="1">
      <c r="A42" s="39"/>
      <c r="B42" s="29" t="s">
        <v>1878</v>
      </c>
      <c r="C42" s="29" t="s">
        <v>1999</v>
      </c>
      <c r="D42" s="35">
        <v>40.0</v>
      </c>
      <c r="E42" s="29" t="s">
        <v>2000</v>
      </c>
      <c r="F42" s="51" t="s">
        <v>2002</v>
      </c>
      <c r="G42" s="39"/>
      <c r="H42" s="39"/>
      <c r="I42" s="29" t="s">
        <v>46</v>
      </c>
      <c r="J42" s="30" t="s">
        <v>2005</v>
      </c>
      <c r="K42" s="30" t="s">
        <v>2007</v>
      </c>
      <c r="L42" s="30" t="s">
        <v>2008</v>
      </c>
      <c r="M42" s="30" t="s">
        <v>2009</v>
      </c>
      <c r="N42" s="30" t="s">
        <v>2010</v>
      </c>
      <c r="O42" s="31" t="s">
        <v>2013</v>
      </c>
      <c r="P42" s="29" t="s">
        <v>2015</v>
      </c>
      <c r="Q42" s="29" t="s">
        <v>2017</v>
      </c>
      <c r="R42" s="39"/>
      <c r="S42" s="29" t="s">
        <v>2019</v>
      </c>
      <c r="T42" s="39"/>
      <c r="U42" s="36" t="s">
        <v>2020</v>
      </c>
      <c r="V42" s="36" t="s">
        <v>2025</v>
      </c>
      <c r="W42" s="37" t="s">
        <v>2027</v>
      </c>
      <c r="X42" s="39"/>
      <c r="Y42" s="41" t="s">
        <v>2030</v>
      </c>
      <c r="Z42" s="42"/>
      <c r="AA42" s="42"/>
    </row>
    <row r="43" ht="58.5" customHeight="1">
      <c r="A43" s="39"/>
      <c r="B43" s="29" t="s">
        <v>1878</v>
      </c>
      <c r="C43" s="29" t="s">
        <v>1999</v>
      </c>
      <c r="D43" s="35">
        <v>41.0</v>
      </c>
      <c r="E43" s="29" t="s">
        <v>2035</v>
      </c>
      <c r="F43" s="51" t="s">
        <v>2036</v>
      </c>
      <c r="G43" s="39"/>
      <c r="H43" s="39"/>
      <c r="I43" s="29" t="s">
        <v>16</v>
      </c>
      <c r="J43" s="30" t="s">
        <v>2037</v>
      </c>
      <c r="K43" s="30" t="s">
        <v>2038</v>
      </c>
      <c r="L43" s="30" t="s">
        <v>2040</v>
      </c>
      <c r="M43" s="30" t="s">
        <v>2041</v>
      </c>
      <c r="N43" s="30" t="s">
        <v>2042</v>
      </c>
      <c r="O43" s="31" t="s">
        <v>2043</v>
      </c>
      <c r="P43" s="29" t="s">
        <v>2044</v>
      </c>
      <c r="Q43" s="29" t="s">
        <v>2045</v>
      </c>
      <c r="R43" s="39"/>
      <c r="S43" s="29" t="s">
        <v>2046</v>
      </c>
      <c r="T43" s="39"/>
      <c r="U43" s="36" t="s">
        <v>2047</v>
      </c>
      <c r="V43" s="36" t="s">
        <v>2050</v>
      </c>
      <c r="W43" s="37" t="s">
        <v>2051</v>
      </c>
      <c r="X43" s="39"/>
      <c r="Y43" s="41" t="s">
        <v>2053</v>
      </c>
      <c r="Z43" s="42"/>
      <c r="AA43" s="42"/>
    </row>
    <row r="44" ht="65.25" customHeight="1">
      <c r="A44" s="39"/>
      <c r="B44" s="29" t="s">
        <v>1878</v>
      </c>
      <c r="C44" s="29" t="s">
        <v>1999</v>
      </c>
      <c r="D44" s="35">
        <v>42.0</v>
      </c>
      <c r="E44" s="29" t="s">
        <v>2055</v>
      </c>
      <c r="F44" s="51" t="s">
        <v>2056</v>
      </c>
      <c r="G44" s="39"/>
      <c r="H44" s="39"/>
      <c r="I44" s="29" t="s">
        <v>68</v>
      </c>
      <c r="J44" s="30" t="s">
        <v>2057</v>
      </c>
      <c r="K44" s="30" t="s">
        <v>2058</v>
      </c>
      <c r="L44" s="30" t="s">
        <v>2059</v>
      </c>
      <c r="M44" s="30" t="s">
        <v>2060</v>
      </c>
      <c r="N44" s="30" t="s">
        <v>2061</v>
      </c>
      <c r="O44" s="31" t="s">
        <v>2062</v>
      </c>
      <c r="P44" s="29" t="s">
        <v>2063</v>
      </c>
      <c r="Q44" s="29" t="s">
        <v>2065</v>
      </c>
      <c r="R44" s="39"/>
      <c r="S44" s="29" t="s">
        <v>2067</v>
      </c>
      <c r="T44" s="39"/>
      <c r="U44" s="36" t="s">
        <v>2069</v>
      </c>
      <c r="V44" s="36" t="s">
        <v>2072</v>
      </c>
      <c r="W44" s="37" t="s">
        <v>2073</v>
      </c>
      <c r="X44" s="39"/>
      <c r="Y44" s="41" t="s">
        <v>2074</v>
      </c>
      <c r="Z44" s="42"/>
      <c r="AA44" s="42"/>
    </row>
    <row r="45" ht="60.75" customHeight="1">
      <c r="A45" s="21"/>
      <c r="B45" s="25" t="s">
        <v>1878</v>
      </c>
      <c r="C45" s="25" t="s">
        <v>1999</v>
      </c>
      <c r="D45" s="26">
        <v>43.0</v>
      </c>
      <c r="E45" s="25" t="s">
        <v>2087</v>
      </c>
      <c r="F45" s="40" t="s">
        <v>2088</v>
      </c>
      <c r="G45" s="21"/>
      <c r="H45" s="21"/>
      <c r="I45" s="29" t="s">
        <v>68</v>
      </c>
      <c r="J45" s="30" t="s">
        <v>2090</v>
      </c>
      <c r="K45" s="30" t="s">
        <v>2091</v>
      </c>
      <c r="L45" s="30" t="s">
        <v>2093</v>
      </c>
      <c r="M45" s="30" t="s">
        <v>2095</v>
      </c>
      <c r="N45" s="30" t="s">
        <v>2097</v>
      </c>
      <c r="O45" s="31" t="s">
        <v>2098</v>
      </c>
      <c r="P45" s="29" t="s">
        <v>2099</v>
      </c>
      <c r="Q45" s="29" t="s">
        <v>2101</v>
      </c>
      <c r="R45" s="21"/>
      <c r="S45" s="33" t="s">
        <v>2103</v>
      </c>
      <c r="T45" s="21"/>
      <c r="U45" s="36" t="s">
        <v>2106</v>
      </c>
      <c r="V45" s="36" t="s">
        <v>2113</v>
      </c>
      <c r="W45" s="37" t="s">
        <v>2117</v>
      </c>
      <c r="X45" s="21"/>
      <c r="Y45" s="33" t="s">
        <v>2119</v>
      </c>
      <c r="Z45" s="42"/>
      <c r="AA45" s="42"/>
    </row>
    <row r="46" ht="53.25" customHeight="1">
      <c r="A46" s="23"/>
      <c r="B46" s="25" t="s">
        <v>2123</v>
      </c>
      <c r="C46" s="25" t="s">
        <v>2124</v>
      </c>
      <c r="D46" s="26">
        <v>44.0</v>
      </c>
      <c r="E46" s="25" t="s">
        <v>2127</v>
      </c>
      <c r="F46" s="40" t="s">
        <v>2128</v>
      </c>
      <c r="G46" s="28"/>
      <c r="H46" s="28"/>
      <c r="I46" s="29" t="s">
        <v>16</v>
      </c>
      <c r="J46" s="30" t="s">
        <v>2131</v>
      </c>
      <c r="K46" s="30" t="s">
        <v>2133</v>
      </c>
      <c r="L46" s="30" t="s">
        <v>2134</v>
      </c>
      <c r="M46" s="30" t="s">
        <v>2135</v>
      </c>
      <c r="N46" s="30" t="s">
        <v>2136</v>
      </c>
      <c r="O46" s="31" t="s">
        <v>2137</v>
      </c>
      <c r="P46" s="29" t="s">
        <v>2138</v>
      </c>
      <c r="Q46" s="29" t="s">
        <v>2139</v>
      </c>
      <c r="R46" s="32"/>
      <c r="S46" s="33" t="s">
        <v>2142</v>
      </c>
      <c r="T46" s="32"/>
      <c r="U46" s="36" t="s">
        <v>2148</v>
      </c>
      <c r="V46" s="36" t="s">
        <v>2154</v>
      </c>
      <c r="W46" s="37" t="s">
        <v>2155</v>
      </c>
      <c r="X46" s="32"/>
      <c r="Y46" s="33" t="s">
        <v>185</v>
      </c>
      <c r="Z46" s="42"/>
      <c r="AA46" s="42"/>
    </row>
    <row r="47" ht="81.0" customHeight="1">
      <c r="A47" s="39"/>
      <c r="B47" s="25" t="s">
        <v>2123</v>
      </c>
      <c r="C47" s="25" t="s">
        <v>2165</v>
      </c>
      <c r="D47" s="26">
        <v>45.0</v>
      </c>
      <c r="E47" s="25" t="s">
        <v>2166</v>
      </c>
      <c r="F47" s="40" t="s">
        <v>2168</v>
      </c>
      <c r="G47" s="39"/>
      <c r="H47" s="39"/>
      <c r="I47" s="29" t="s">
        <v>68</v>
      </c>
      <c r="J47" s="30" t="s">
        <v>2172</v>
      </c>
      <c r="K47" s="30" t="s">
        <v>2173</v>
      </c>
      <c r="L47" s="30" t="s">
        <v>2175</v>
      </c>
      <c r="M47" s="30" t="s">
        <v>2177</v>
      </c>
      <c r="N47" s="30" t="s">
        <v>2179</v>
      </c>
      <c r="O47" s="31" t="s">
        <v>2180</v>
      </c>
      <c r="P47" s="29" t="s">
        <v>2181</v>
      </c>
      <c r="Q47" s="29" t="s">
        <v>2182</v>
      </c>
      <c r="R47" s="39"/>
      <c r="S47" s="33" t="s">
        <v>2185</v>
      </c>
      <c r="T47" s="39"/>
      <c r="U47" s="36" t="s">
        <v>2190</v>
      </c>
      <c r="V47" s="36" t="s">
        <v>2196</v>
      </c>
      <c r="W47" s="37" t="s">
        <v>2200</v>
      </c>
      <c r="X47" s="39"/>
      <c r="Y47" s="33" t="s">
        <v>185</v>
      </c>
      <c r="Z47" s="42"/>
      <c r="AA47" s="42"/>
    </row>
    <row r="48" ht="64.5" customHeight="1">
      <c r="A48" s="39"/>
      <c r="B48" s="25" t="s">
        <v>2123</v>
      </c>
      <c r="C48" s="25" t="s">
        <v>2202</v>
      </c>
      <c r="D48" s="26">
        <v>46.0</v>
      </c>
      <c r="E48" s="25" t="s">
        <v>2203</v>
      </c>
      <c r="F48" s="40" t="s">
        <v>2205</v>
      </c>
      <c r="G48" s="39"/>
      <c r="H48" s="39"/>
      <c r="I48" s="29" t="s">
        <v>46</v>
      </c>
      <c r="J48" s="30" t="s">
        <v>2206</v>
      </c>
      <c r="K48" s="30" t="s">
        <v>2207</v>
      </c>
      <c r="L48" s="30" t="s">
        <v>2209</v>
      </c>
      <c r="M48" s="30" t="s">
        <v>2211</v>
      </c>
      <c r="N48" s="30" t="s">
        <v>2214</v>
      </c>
      <c r="O48" s="31" t="s">
        <v>2216</v>
      </c>
      <c r="P48" s="29" t="s">
        <v>2218</v>
      </c>
      <c r="Q48" s="29" t="s">
        <v>2219</v>
      </c>
      <c r="R48" s="39"/>
      <c r="S48" s="33" t="s">
        <v>2220</v>
      </c>
      <c r="T48" s="39"/>
      <c r="U48" s="36" t="s">
        <v>2221</v>
      </c>
      <c r="V48" s="36" t="s">
        <v>2227</v>
      </c>
      <c r="W48" s="37" t="s">
        <v>2228</v>
      </c>
      <c r="X48" s="39"/>
      <c r="Y48" s="33" t="s">
        <v>185</v>
      </c>
      <c r="Z48" s="42"/>
      <c r="AA48" s="42"/>
    </row>
    <row r="49" ht="52.5" customHeight="1">
      <c r="A49" s="21"/>
      <c r="B49" s="25" t="s">
        <v>2123</v>
      </c>
      <c r="C49" s="25" t="s">
        <v>2232</v>
      </c>
      <c r="D49" s="26">
        <v>47.0</v>
      </c>
      <c r="E49" s="25" t="s">
        <v>2233</v>
      </c>
      <c r="F49" s="40" t="s">
        <v>2234</v>
      </c>
      <c r="G49" s="21"/>
      <c r="H49" s="21"/>
      <c r="I49" s="29" t="s">
        <v>68</v>
      </c>
      <c r="J49" s="30" t="s">
        <v>2237</v>
      </c>
      <c r="K49" s="30" t="s">
        <v>2238</v>
      </c>
      <c r="L49" s="30" t="s">
        <v>2239</v>
      </c>
      <c r="M49" s="30" t="s">
        <v>2240</v>
      </c>
      <c r="N49" s="30" t="s">
        <v>2241</v>
      </c>
      <c r="O49" s="31" t="s">
        <v>2244</v>
      </c>
      <c r="P49" s="29" t="s">
        <v>2246</v>
      </c>
      <c r="Q49" s="29" t="s">
        <v>2247</v>
      </c>
      <c r="R49" s="21"/>
      <c r="S49" s="33" t="s">
        <v>2248</v>
      </c>
      <c r="T49" s="21"/>
      <c r="U49" s="36" t="s">
        <v>2249</v>
      </c>
      <c r="V49" s="36" t="s">
        <v>2252</v>
      </c>
      <c r="W49" s="37" t="s">
        <v>2253</v>
      </c>
      <c r="X49" s="21"/>
      <c r="Y49" s="33" t="s">
        <v>185</v>
      </c>
      <c r="Z49" s="42"/>
      <c r="AA49" s="42"/>
    </row>
    <row r="50" ht="105.75" customHeight="1">
      <c r="A50" s="23" t="s">
        <v>2257</v>
      </c>
      <c r="B50" s="25" t="s">
        <v>2260</v>
      </c>
      <c r="C50" s="25" t="s">
        <v>2262</v>
      </c>
      <c r="D50" s="26">
        <v>48.0</v>
      </c>
      <c r="E50" s="25" t="s">
        <v>2265</v>
      </c>
      <c r="F50" s="25" t="s">
        <v>2267</v>
      </c>
      <c r="G50" s="28" t="s">
        <v>2270</v>
      </c>
      <c r="H50" s="28" t="s">
        <v>2272</v>
      </c>
      <c r="I50" s="29" t="s">
        <v>16</v>
      </c>
      <c r="J50" s="30" t="s">
        <v>2274</v>
      </c>
      <c r="K50" s="30" t="s">
        <v>2276</v>
      </c>
      <c r="L50" s="30" t="s">
        <v>2278</v>
      </c>
      <c r="M50" s="30" t="s">
        <v>2279</v>
      </c>
      <c r="N50" s="30" t="s">
        <v>2281</v>
      </c>
      <c r="O50" s="31" t="s">
        <v>2283</v>
      </c>
      <c r="P50" s="29" t="s">
        <v>2285</v>
      </c>
      <c r="Q50" s="29" t="s">
        <v>2287</v>
      </c>
      <c r="R50" s="32" t="s">
        <v>2288</v>
      </c>
      <c r="S50" s="33" t="s">
        <v>2293</v>
      </c>
      <c r="T50" s="32" t="s">
        <v>2295</v>
      </c>
      <c r="U50" s="36" t="s">
        <v>2300</v>
      </c>
      <c r="V50" s="36" t="s">
        <v>2302</v>
      </c>
      <c r="W50" s="37" t="s">
        <v>2304</v>
      </c>
      <c r="X50" s="32" t="s">
        <v>2307</v>
      </c>
      <c r="Y50" s="33" t="s">
        <v>2308</v>
      </c>
      <c r="Z50" s="42"/>
      <c r="AA50" s="42"/>
    </row>
    <row r="51" ht="63.0" customHeight="1">
      <c r="A51" s="39"/>
      <c r="B51" s="25" t="s">
        <v>2260</v>
      </c>
      <c r="C51" s="25" t="s">
        <v>2309</v>
      </c>
      <c r="D51" s="26">
        <v>49.0</v>
      </c>
      <c r="E51" s="25" t="s">
        <v>2310</v>
      </c>
      <c r="F51" s="25" t="s">
        <v>2311</v>
      </c>
      <c r="G51" s="39"/>
      <c r="H51" s="39"/>
      <c r="I51" s="29" t="s">
        <v>16</v>
      </c>
      <c r="J51" s="30" t="s">
        <v>2312</v>
      </c>
      <c r="K51" s="30" t="s">
        <v>2313</v>
      </c>
      <c r="L51" s="30" t="s">
        <v>2314</v>
      </c>
      <c r="M51" s="30" t="s">
        <v>2315</v>
      </c>
      <c r="N51" s="30" t="s">
        <v>2316</v>
      </c>
      <c r="O51" s="31" t="s">
        <v>2317</v>
      </c>
      <c r="P51" s="29" t="s">
        <v>2318</v>
      </c>
      <c r="Q51" s="29" t="s">
        <v>2319</v>
      </c>
      <c r="R51" s="39"/>
      <c r="S51" s="33" t="s">
        <v>2320</v>
      </c>
      <c r="T51" s="39"/>
      <c r="U51" s="36" t="s">
        <v>2322</v>
      </c>
      <c r="V51" s="36" t="s">
        <v>2328</v>
      </c>
      <c r="W51" s="37" t="s">
        <v>2330</v>
      </c>
      <c r="X51" s="39"/>
      <c r="Y51" s="33" t="s">
        <v>2333</v>
      </c>
      <c r="Z51" s="42"/>
      <c r="AA51" s="42"/>
    </row>
    <row r="52" ht="65.25" customHeight="1">
      <c r="A52" s="21"/>
      <c r="B52" s="25" t="s">
        <v>2260</v>
      </c>
      <c r="C52" s="25" t="s">
        <v>2309</v>
      </c>
      <c r="D52" s="26">
        <v>50.0</v>
      </c>
      <c r="E52" s="25" t="s">
        <v>2337</v>
      </c>
      <c r="F52" s="25" t="s">
        <v>2338</v>
      </c>
      <c r="G52" s="21"/>
      <c r="H52" s="21"/>
      <c r="I52" s="29" t="s">
        <v>46</v>
      </c>
      <c r="J52" s="30" t="s">
        <v>2340</v>
      </c>
      <c r="K52" s="30" t="s">
        <v>2341</v>
      </c>
      <c r="L52" s="30" t="s">
        <v>2343</v>
      </c>
      <c r="M52" s="30" t="s">
        <v>2345</v>
      </c>
      <c r="N52" s="30" t="s">
        <v>2347</v>
      </c>
      <c r="O52" s="31" t="s">
        <v>2348</v>
      </c>
      <c r="P52" s="29" t="s">
        <v>2349</v>
      </c>
      <c r="Q52" s="29" t="s">
        <v>2351</v>
      </c>
      <c r="R52" s="21"/>
      <c r="S52" s="33" t="s">
        <v>2353</v>
      </c>
      <c r="T52" s="21"/>
      <c r="U52" s="36" t="s">
        <v>2356</v>
      </c>
      <c r="V52" s="36" t="s">
        <v>2364</v>
      </c>
      <c r="W52" s="37" t="s">
        <v>2365</v>
      </c>
      <c r="X52" s="21"/>
      <c r="Y52" s="33" t="s">
        <v>2367</v>
      </c>
      <c r="Z52" s="42"/>
      <c r="AA52" s="42"/>
    </row>
    <row r="53" ht="108.0" customHeight="1">
      <c r="A53" s="23" t="s">
        <v>1872</v>
      </c>
      <c r="B53" s="25" t="s">
        <v>2370</v>
      </c>
      <c r="C53" s="25" t="s">
        <v>2371</v>
      </c>
      <c r="D53" s="26">
        <v>51.0</v>
      </c>
      <c r="E53" s="25" t="s">
        <v>2373</v>
      </c>
      <c r="F53" s="25" t="s">
        <v>2374</v>
      </c>
      <c r="G53" s="28" t="s">
        <v>2375</v>
      </c>
      <c r="H53" s="28" t="s">
        <v>2376</v>
      </c>
      <c r="I53" s="29" t="s">
        <v>16</v>
      </c>
      <c r="J53" s="30" t="s">
        <v>2378</v>
      </c>
      <c r="K53" s="30" t="s">
        <v>2379</v>
      </c>
      <c r="L53" s="30" t="s">
        <v>2380</v>
      </c>
      <c r="M53" s="30" t="s">
        <v>2381</v>
      </c>
      <c r="N53" s="30" t="s">
        <v>2382</v>
      </c>
      <c r="O53" s="31" t="s">
        <v>2383</v>
      </c>
      <c r="P53" s="29" t="s">
        <v>2384</v>
      </c>
      <c r="Q53" s="29" t="s">
        <v>2385</v>
      </c>
      <c r="R53" s="32" t="s">
        <v>2387</v>
      </c>
      <c r="S53" s="33" t="s">
        <v>2388</v>
      </c>
      <c r="T53" s="32" t="s">
        <v>2389</v>
      </c>
      <c r="U53" s="36" t="s">
        <v>2391</v>
      </c>
      <c r="V53" s="36" t="s">
        <v>2393</v>
      </c>
      <c r="W53" s="37" t="s">
        <v>2394</v>
      </c>
      <c r="X53" s="32" t="s">
        <v>2396</v>
      </c>
      <c r="Y53" s="33" t="s">
        <v>2397</v>
      </c>
      <c r="Z53" s="42"/>
      <c r="AA53" s="42"/>
    </row>
    <row r="54" ht="65.25" customHeight="1">
      <c r="A54" s="39"/>
      <c r="B54" s="25" t="s">
        <v>2370</v>
      </c>
      <c r="C54" s="25" t="s">
        <v>2371</v>
      </c>
      <c r="D54" s="26">
        <v>52.0</v>
      </c>
      <c r="E54" s="25" t="s">
        <v>2399</v>
      </c>
      <c r="F54" s="25" t="s">
        <v>2400</v>
      </c>
      <c r="G54" s="39"/>
      <c r="H54" s="39"/>
      <c r="I54" s="29" t="s">
        <v>16</v>
      </c>
      <c r="J54" s="30" t="s">
        <v>2401</v>
      </c>
      <c r="K54" s="30" t="s">
        <v>2402</v>
      </c>
      <c r="L54" s="30" t="s">
        <v>2403</v>
      </c>
      <c r="M54" s="30" t="s">
        <v>2404</v>
      </c>
      <c r="N54" s="30" t="s">
        <v>2405</v>
      </c>
      <c r="O54" s="31" t="s">
        <v>2406</v>
      </c>
      <c r="P54" s="29" t="s">
        <v>2407</v>
      </c>
      <c r="Q54" s="29" t="s">
        <v>2408</v>
      </c>
      <c r="R54" s="39"/>
      <c r="S54" s="33" t="s">
        <v>2409</v>
      </c>
      <c r="T54" s="39"/>
      <c r="U54" s="36" t="s">
        <v>2410</v>
      </c>
      <c r="V54" s="36" t="s">
        <v>2412</v>
      </c>
      <c r="W54" s="37" t="s">
        <v>2413</v>
      </c>
      <c r="X54" s="39"/>
      <c r="Y54" s="33" t="s">
        <v>2414</v>
      </c>
      <c r="Z54" s="42"/>
      <c r="AA54" s="42"/>
    </row>
    <row r="55" ht="58.5" customHeight="1">
      <c r="A55" s="39"/>
      <c r="B55" s="25" t="s">
        <v>2370</v>
      </c>
      <c r="C55" s="25" t="s">
        <v>2416</v>
      </c>
      <c r="D55" s="26">
        <v>53.0</v>
      </c>
      <c r="E55" s="25" t="s">
        <v>2417</v>
      </c>
      <c r="F55" s="25" t="s">
        <v>2418</v>
      </c>
      <c r="G55" s="39"/>
      <c r="H55" s="39"/>
      <c r="I55" s="29" t="s">
        <v>16</v>
      </c>
      <c r="J55" s="30" t="s">
        <v>2419</v>
      </c>
      <c r="K55" s="30" t="s">
        <v>2420</v>
      </c>
      <c r="L55" s="30" t="s">
        <v>2421</v>
      </c>
      <c r="M55" s="30" t="s">
        <v>2422</v>
      </c>
      <c r="N55" s="30" t="s">
        <v>2423</v>
      </c>
      <c r="O55" s="31" t="s">
        <v>2424</v>
      </c>
      <c r="P55" s="29" t="s">
        <v>2425</v>
      </c>
      <c r="Q55" s="29" t="s">
        <v>2426</v>
      </c>
      <c r="R55" s="39"/>
      <c r="S55" s="33" t="s">
        <v>2427</v>
      </c>
      <c r="T55" s="39"/>
      <c r="U55" s="36" t="s">
        <v>2428</v>
      </c>
      <c r="V55" s="36" t="s">
        <v>2429</v>
      </c>
      <c r="W55" s="37" t="s">
        <v>2430</v>
      </c>
      <c r="X55" s="39"/>
      <c r="Y55" s="33" t="s">
        <v>2431</v>
      </c>
      <c r="Z55" s="42"/>
      <c r="AA55" s="42"/>
    </row>
    <row r="56" ht="61.5" customHeight="1">
      <c r="A56" s="39"/>
      <c r="B56" s="25" t="s">
        <v>2370</v>
      </c>
      <c r="C56" s="25" t="s">
        <v>2432</v>
      </c>
      <c r="D56" s="26">
        <v>54.0</v>
      </c>
      <c r="E56" s="25" t="s">
        <v>2433</v>
      </c>
      <c r="F56" s="25" t="s">
        <v>2434</v>
      </c>
      <c r="G56" s="39"/>
      <c r="H56" s="39"/>
      <c r="I56" s="29" t="s">
        <v>16</v>
      </c>
      <c r="J56" s="30" t="s">
        <v>2435</v>
      </c>
      <c r="K56" s="30" t="s">
        <v>2436</v>
      </c>
      <c r="L56" s="30" t="s">
        <v>2437</v>
      </c>
      <c r="M56" s="30" t="s">
        <v>2438</v>
      </c>
      <c r="N56" s="30" t="s">
        <v>2439</v>
      </c>
      <c r="O56" s="31" t="s">
        <v>2440</v>
      </c>
      <c r="P56" s="29" t="s">
        <v>2441</v>
      </c>
      <c r="Q56" s="29" t="s">
        <v>2442</v>
      </c>
      <c r="R56" s="39"/>
      <c r="S56" s="33" t="s">
        <v>2443</v>
      </c>
      <c r="T56" s="39"/>
      <c r="U56" s="36" t="s">
        <v>2444</v>
      </c>
      <c r="V56" s="36" t="s">
        <v>2445</v>
      </c>
      <c r="W56" s="37" t="s">
        <v>2446</v>
      </c>
      <c r="X56" s="39"/>
      <c r="Y56" s="33" t="s">
        <v>2447</v>
      </c>
      <c r="Z56" s="42"/>
      <c r="AA56" s="42"/>
    </row>
    <row r="57" ht="65.25" customHeight="1">
      <c r="A57" s="39"/>
      <c r="B57" s="25" t="s">
        <v>2370</v>
      </c>
      <c r="C57" s="25" t="s">
        <v>2432</v>
      </c>
      <c r="D57" s="26">
        <v>55.0</v>
      </c>
      <c r="E57" s="25" t="s">
        <v>2448</v>
      </c>
      <c r="F57" s="25" t="s">
        <v>2449</v>
      </c>
      <c r="G57" s="39"/>
      <c r="H57" s="39"/>
      <c r="I57" s="29" t="s">
        <v>16</v>
      </c>
      <c r="J57" s="30" t="s">
        <v>2450</v>
      </c>
      <c r="K57" s="30" t="s">
        <v>2451</v>
      </c>
      <c r="L57" s="30" t="s">
        <v>2452</v>
      </c>
      <c r="M57" s="30" t="s">
        <v>2453</v>
      </c>
      <c r="N57" s="30" t="s">
        <v>2454</v>
      </c>
      <c r="O57" s="31" t="s">
        <v>2455</v>
      </c>
      <c r="P57" s="29" t="s">
        <v>2456</v>
      </c>
      <c r="Q57" s="29" t="s">
        <v>2457</v>
      </c>
      <c r="R57" s="39"/>
      <c r="S57" s="33" t="s">
        <v>2458</v>
      </c>
      <c r="T57" s="39"/>
      <c r="U57" s="36" t="s">
        <v>2459</v>
      </c>
      <c r="V57" s="36" t="s">
        <v>2460</v>
      </c>
      <c r="W57" s="37" t="s">
        <v>2461</v>
      </c>
      <c r="X57" s="39"/>
      <c r="Y57" s="33" t="s">
        <v>2462</v>
      </c>
      <c r="Z57" s="42"/>
      <c r="AA57" s="42"/>
    </row>
    <row r="58" ht="60.75" customHeight="1">
      <c r="A58" s="21"/>
      <c r="B58" s="25" t="s">
        <v>2370</v>
      </c>
      <c r="C58" s="25" t="s">
        <v>2463</v>
      </c>
      <c r="D58" s="26">
        <v>56.0</v>
      </c>
      <c r="E58" s="25" t="s">
        <v>2464</v>
      </c>
      <c r="F58" s="25" t="s">
        <v>2465</v>
      </c>
      <c r="G58" s="21"/>
      <c r="H58" s="21"/>
      <c r="I58" s="29" t="s">
        <v>16</v>
      </c>
      <c r="J58" s="30" t="s">
        <v>2466</v>
      </c>
      <c r="K58" s="30" t="s">
        <v>2467</v>
      </c>
      <c r="L58" s="30" t="s">
        <v>2468</v>
      </c>
      <c r="M58" s="30" t="s">
        <v>2469</v>
      </c>
      <c r="N58" s="30" t="s">
        <v>2470</v>
      </c>
      <c r="O58" s="31" t="s">
        <v>2471</v>
      </c>
      <c r="P58" s="29" t="s">
        <v>2472</v>
      </c>
      <c r="Q58" s="29" t="s">
        <v>2473</v>
      </c>
      <c r="R58" s="21"/>
      <c r="S58" s="33" t="s">
        <v>2474</v>
      </c>
      <c r="T58" s="21"/>
      <c r="U58" s="36" t="s">
        <v>2475</v>
      </c>
      <c r="V58" s="36" t="s">
        <v>2476</v>
      </c>
      <c r="W58" s="37" t="s">
        <v>2477</v>
      </c>
      <c r="X58" s="21"/>
      <c r="Y58" s="33" t="s">
        <v>2478</v>
      </c>
      <c r="Z58" s="42"/>
      <c r="AA58" s="42"/>
    </row>
    <row r="59" ht="107.25" customHeight="1">
      <c r="A59" s="23" t="s">
        <v>2479</v>
      </c>
      <c r="B59" s="25" t="s">
        <v>2480</v>
      </c>
      <c r="C59" s="25" t="s">
        <v>2481</v>
      </c>
      <c r="D59" s="26">
        <v>57.0</v>
      </c>
      <c r="E59" s="25" t="s">
        <v>2482</v>
      </c>
      <c r="F59" s="25" t="s">
        <v>2483</v>
      </c>
      <c r="G59" s="28" t="s">
        <v>2484</v>
      </c>
      <c r="H59" s="28" t="s">
        <v>2485</v>
      </c>
      <c r="I59" s="29" t="s">
        <v>16</v>
      </c>
      <c r="J59" s="30" t="s">
        <v>2486</v>
      </c>
      <c r="K59" s="30" t="s">
        <v>2487</v>
      </c>
      <c r="L59" s="30" t="s">
        <v>2488</v>
      </c>
      <c r="M59" s="30" t="s">
        <v>2489</v>
      </c>
      <c r="N59" s="30" t="s">
        <v>2490</v>
      </c>
      <c r="O59" s="31" t="s">
        <v>2491</v>
      </c>
      <c r="P59" s="29" t="s">
        <v>2492</v>
      </c>
      <c r="Q59" s="29" t="s">
        <v>2493</v>
      </c>
      <c r="R59" s="32" t="s">
        <v>2494</v>
      </c>
      <c r="S59" s="33" t="s">
        <v>2495</v>
      </c>
      <c r="T59" s="32" t="s">
        <v>2496</v>
      </c>
      <c r="U59" s="36" t="s">
        <v>2497</v>
      </c>
      <c r="V59" s="36" t="s">
        <v>2498</v>
      </c>
      <c r="W59" s="37" t="s">
        <v>2499</v>
      </c>
      <c r="X59" s="32" t="s">
        <v>2500</v>
      </c>
      <c r="Y59" s="33" t="s">
        <v>2501</v>
      </c>
      <c r="Z59" s="42"/>
      <c r="AA59" s="42"/>
    </row>
    <row r="60" ht="66.0" customHeight="1">
      <c r="A60" s="39"/>
      <c r="B60" s="25" t="s">
        <v>2480</v>
      </c>
      <c r="C60" s="25" t="s">
        <v>2481</v>
      </c>
      <c r="D60" s="26">
        <v>58.0</v>
      </c>
      <c r="E60" s="25" t="s">
        <v>2502</v>
      </c>
      <c r="F60" s="25" t="s">
        <v>2503</v>
      </c>
      <c r="G60" s="39"/>
      <c r="H60" s="39"/>
      <c r="I60" s="29" t="s">
        <v>16</v>
      </c>
      <c r="J60" s="30" t="s">
        <v>2504</v>
      </c>
      <c r="K60" s="30" t="s">
        <v>2505</v>
      </c>
      <c r="L60" s="30" t="s">
        <v>2506</v>
      </c>
      <c r="M60" s="30" t="s">
        <v>2507</v>
      </c>
      <c r="N60" s="30" t="s">
        <v>2508</v>
      </c>
      <c r="O60" s="31" t="s">
        <v>2509</v>
      </c>
      <c r="P60" s="29" t="s">
        <v>2510</v>
      </c>
      <c r="Q60" s="29" t="s">
        <v>2511</v>
      </c>
      <c r="R60" s="39"/>
      <c r="S60" s="33" t="s">
        <v>2512</v>
      </c>
      <c r="T60" s="39"/>
      <c r="U60" s="36" t="s">
        <v>2513</v>
      </c>
      <c r="V60" s="36" t="s">
        <v>2514</v>
      </c>
      <c r="W60" s="37" t="s">
        <v>2515</v>
      </c>
      <c r="X60" s="39"/>
      <c r="Y60" s="33" t="s">
        <v>2516</v>
      </c>
      <c r="Z60" s="42"/>
      <c r="AA60" s="42"/>
    </row>
    <row r="61" ht="67.5" customHeight="1">
      <c r="A61" s="39"/>
      <c r="B61" s="25" t="s">
        <v>2480</v>
      </c>
      <c r="C61" s="25" t="s">
        <v>2517</v>
      </c>
      <c r="D61" s="26">
        <v>59.0</v>
      </c>
      <c r="E61" s="25" t="s">
        <v>2518</v>
      </c>
      <c r="F61" s="40" t="s">
        <v>2519</v>
      </c>
      <c r="G61" s="39"/>
      <c r="H61" s="39"/>
      <c r="I61" s="29" t="s">
        <v>68</v>
      </c>
      <c r="J61" s="30" t="s">
        <v>2520</v>
      </c>
      <c r="K61" s="30" t="s">
        <v>2521</v>
      </c>
      <c r="L61" s="30" t="s">
        <v>2522</v>
      </c>
      <c r="M61" s="30" t="s">
        <v>2523</v>
      </c>
      <c r="N61" s="30" t="s">
        <v>2524</v>
      </c>
      <c r="O61" s="31" t="s">
        <v>2525</v>
      </c>
      <c r="P61" s="29" t="s">
        <v>2526</v>
      </c>
      <c r="Q61" s="29" t="s">
        <v>2527</v>
      </c>
      <c r="R61" s="39"/>
      <c r="S61" s="33" t="s">
        <v>2528</v>
      </c>
      <c r="T61" s="39"/>
      <c r="U61" s="36" t="s">
        <v>2529</v>
      </c>
      <c r="V61" s="36" t="s">
        <v>2530</v>
      </c>
      <c r="W61" s="37" t="s">
        <v>2531</v>
      </c>
      <c r="X61" s="39"/>
      <c r="Y61" s="33" t="s">
        <v>2532</v>
      </c>
      <c r="Z61" s="42"/>
      <c r="AA61" s="42"/>
    </row>
    <row r="62" ht="90.75" customHeight="1">
      <c r="A62" s="21"/>
      <c r="B62" s="25" t="s">
        <v>2480</v>
      </c>
      <c r="C62" s="25" t="s">
        <v>2517</v>
      </c>
      <c r="D62" s="26">
        <v>60.0</v>
      </c>
      <c r="E62" s="25" t="s">
        <v>2533</v>
      </c>
      <c r="F62" s="40" t="s">
        <v>2534</v>
      </c>
      <c r="G62" s="21"/>
      <c r="H62" s="21"/>
      <c r="I62" s="29" t="s">
        <v>46</v>
      </c>
      <c r="J62" s="30" t="s">
        <v>2535</v>
      </c>
      <c r="K62" s="30" t="s">
        <v>2536</v>
      </c>
      <c r="L62" s="30" t="s">
        <v>2537</v>
      </c>
      <c r="M62" s="30" t="s">
        <v>2538</v>
      </c>
      <c r="N62" s="30" t="s">
        <v>2539</v>
      </c>
      <c r="O62" s="31" t="s">
        <v>2540</v>
      </c>
      <c r="P62" s="29" t="s">
        <v>2541</v>
      </c>
      <c r="Q62" s="29" t="s">
        <v>2542</v>
      </c>
      <c r="R62" s="21"/>
      <c r="S62" s="33" t="s">
        <v>2543</v>
      </c>
      <c r="T62" s="21"/>
      <c r="U62" s="36" t="s">
        <v>2544</v>
      </c>
      <c r="V62" s="36" t="s">
        <v>2545</v>
      </c>
      <c r="W62" s="37" t="s">
        <v>2546</v>
      </c>
      <c r="X62" s="21"/>
      <c r="Y62" s="33" t="s">
        <v>185</v>
      </c>
      <c r="Z62" s="42"/>
      <c r="AA62" s="42"/>
    </row>
    <row r="63" ht="121.5" customHeight="1">
      <c r="A63" s="23" t="s">
        <v>2547</v>
      </c>
      <c r="B63" s="25" t="s">
        <v>2548</v>
      </c>
      <c r="C63" s="25" t="s">
        <v>2549</v>
      </c>
      <c r="D63" s="26">
        <v>61.0</v>
      </c>
      <c r="E63" s="25" t="s">
        <v>2550</v>
      </c>
      <c r="F63" s="25" t="s">
        <v>2551</v>
      </c>
      <c r="G63" s="28" t="s">
        <v>2552</v>
      </c>
      <c r="H63" s="28" t="s">
        <v>2553</v>
      </c>
      <c r="I63" s="29" t="s">
        <v>16</v>
      </c>
      <c r="J63" s="30" t="s">
        <v>2554</v>
      </c>
      <c r="K63" s="30" t="s">
        <v>2555</v>
      </c>
      <c r="L63" s="30" t="s">
        <v>2556</v>
      </c>
      <c r="M63" s="30" t="s">
        <v>2557</v>
      </c>
      <c r="N63" s="30" t="s">
        <v>2558</v>
      </c>
      <c r="O63" s="31" t="s">
        <v>2559</v>
      </c>
      <c r="P63" s="29" t="s">
        <v>2560</v>
      </c>
      <c r="Q63" s="29" t="s">
        <v>2561</v>
      </c>
      <c r="R63" s="32" t="s">
        <v>2562</v>
      </c>
      <c r="S63" s="33" t="s">
        <v>2563</v>
      </c>
      <c r="T63" s="32" t="s">
        <v>2564</v>
      </c>
      <c r="U63" s="36" t="s">
        <v>2565</v>
      </c>
      <c r="V63" s="36" t="s">
        <v>2566</v>
      </c>
      <c r="W63" s="37" t="s">
        <v>2567</v>
      </c>
      <c r="X63" s="32" t="s">
        <v>2568</v>
      </c>
      <c r="Y63" s="33" t="s">
        <v>2569</v>
      </c>
      <c r="Z63" s="42"/>
      <c r="AA63" s="42"/>
    </row>
    <row r="64" ht="103.5" customHeight="1">
      <c r="A64" s="21"/>
      <c r="B64" s="25" t="s">
        <v>2548</v>
      </c>
      <c r="C64" s="25" t="s">
        <v>2570</v>
      </c>
      <c r="D64" s="26">
        <v>62.0</v>
      </c>
      <c r="E64" s="25" t="s">
        <v>2571</v>
      </c>
      <c r="F64" s="40" t="s">
        <v>2572</v>
      </c>
      <c r="G64" s="21"/>
      <c r="H64" s="21"/>
      <c r="I64" s="29" t="s">
        <v>46</v>
      </c>
      <c r="J64" s="30" t="s">
        <v>2573</v>
      </c>
      <c r="K64" s="30" t="s">
        <v>2574</v>
      </c>
      <c r="L64" s="30" t="s">
        <v>2575</v>
      </c>
      <c r="M64" s="30" t="s">
        <v>2576</v>
      </c>
      <c r="N64" s="30" t="s">
        <v>2577</v>
      </c>
      <c r="O64" s="31" t="s">
        <v>2578</v>
      </c>
      <c r="P64" s="29" t="s">
        <v>2579</v>
      </c>
      <c r="Q64" s="29" t="s">
        <v>2580</v>
      </c>
      <c r="R64" s="21"/>
      <c r="S64" s="33" t="s">
        <v>2581</v>
      </c>
      <c r="T64" s="21"/>
      <c r="U64" s="36" t="s">
        <v>2582</v>
      </c>
      <c r="V64" s="36" t="s">
        <v>2583</v>
      </c>
      <c r="W64" s="37" t="s">
        <v>2584</v>
      </c>
      <c r="X64" s="21"/>
      <c r="Y64" s="33" t="s">
        <v>2585</v>
      </c>
      <c r="Z64" s="42"/>
      <c r="AA64" s="42"/>
    </row>
    <row r="65" ht="100.5" customHeight="1">
      <c r="A65" s="23" t="s">
        <v>2586</v>
      </c>
      <c r="B65" s="25" t="s">
        <v>2587</v>
      </c>
      <c r="C65" s="25" t="s">
        <v>2588</v>
      </c>
      <c r="D65" s="26">
        <v>63.0</v>
      </c>
      <c r="E65" s="25" t="s">
        <v>2589</v>
      </c>
      <c r="F65" s="25" t="s">
        <v>2590</v>
      </c>
      <c r="G65" s="28" t="s">
        <v>2591</v>
      </c>
      <c r="H65" s="28" t="s">
        <v>2592</v>
      </c>
      <c r="I65" s="29" t="s">
        <v>16</v>
      </c>
      <c r="J65" s="30" t="s">
        <v>2593</v>
      </c>
      <c r="K65" s="30" t="s">
        <v>2594</v>
      </c>
      <c r="L65" s="30" t="s">
        <v>2595</v>
      </c>
      <c r="M65" s="30" t="s">
        <v>2596</v>
      </c>
      <c r="N65" s="30" t="s">
        <v>2597</v>
      </c>
      <c r="O65" s="31" t="s">
        <v>2598</v>
      </c>
      <c r="P65" s="29" t="s">
        <v>2599</v>
      </c>
      <c r="Q65" s="29" t="s">
        <v>2600</v>
      </c>
      <c r="R65" s="32" t="s">
        <v>2601</v>
      </c>
      <c r="S65" s="33" t="s">
        <v>2602</v>
      </c>
      <c r="T65" s="32" t="s">
        <v>2603</v>
      </c>
      <c r="U65" s="36" t="s">
        <v>2604</v>
      </c>
      <c r="V65" s="36" t="s">
        <v>2605</v>
      </c>
      <c r="W65" s="37" t="s">
        <v>2606</v>
      </c>
      <c r="X65" s="32" t="s">
        <v>2607</v>
      </c>
      <c r="Y65" s="33" t="s">
        <v>2608</v>
      </c>
      <c r="Z65" s="42"/>
      <c r="AA65" s="42"/>
    </row>
    <row r="66" ht="116.25" customHeight="1">
      <c r="A66" s="21"/>
      <c r="B66" s="25" t="s">
        <v>2587</v>
      </c>
      <c r="C66" s="25" t="s">
        <v>2609</v>
      </c>
      <c r="D66" s="26">
        <v>64.0</v>
      </c>
      <c r="E66" s="25" t="s">
        <v>2610</v>
      </c>
      <c r="F66" s="25" t="s">
        <v>2611</v>
      </c>
      <c r="G66" s="21"/>
      <c r="H66" s="21"/>
      <c r="I66" s="29" t="s">
        <v>16</v>
      </c>
      <c r="J66" s="30" t="s">
        <v>2612</v>
      </c>
      <c r="K66" s="30" t="s">
        <v>2613</v>
      </c>
      <c r="L66" s="30" t="s">
        <v>2614</v>
      </c>
      <c r="M66" s="30" t="s">
        <v>2615</v>
      </c>
      <c r="N66" s="30" t="s">
        <v>2616</v>
      </c>
      <c r="O66" s="31" t="s">
        <v>2617</v>
      </c>
      <c r="P66" s="29" t="s">
        <v>2618</v>
      </c>
      <c r="Q66" s="29" t="s">
        <v>2619</v>
      </c>
      <c r="R66" s="21"/>
      <c r="S66" s="33" t="s">
        <v>2620</v>
      </c>
      <c r="T66" s="21"/>
      <c r="U66" s="36" t="s">
        <v>2621</v>
      </c>
      <c r="V66" s="36" t="s">
        <v>2622</v>
      </c>
      <c r="W66" s="37" t="s">
        <v>2623</v>
      </c>
      <c r="X66" s="21"/>
      <c r="Y66" s="33" t="s">
        <v>2624</v>
      </c>
      <c r="Z66" s="42"/>
      <c r="AA66" s="42"/>
    </row>
    <row r="67" ht="15.75" customHeight="1">
      <c r="D67" s="73"/>
    </row>
    <row r="68" ht="15.75" customHeight="1">
      <c r="B68" s="74" t="s">
        <v>2377</v>
      </c>
      <c r="C68" s="75"/>
      <c r="D68" s="76"/>
      <c r="E68" s="77" t="s">
        <v>2386</v>
      </c>
    </row>
    <row r="69" ht="15.75" customHeight="1">
      <c r="C69" s="78"/>
      <c r="D69" s="79"/>
      <c r="E69" s="77" t="s">
        <v>2390</v>
      </c>
    </row>
    <row r="70" ht="15.75" customHeight="1">
      <c r="C70" s="80"/>
      <c r="D70" s="81"/>
      <c r="E70" s="77" t="s">
        <v>2392</v>
      </c>
    </row>
    <row r="71" ht="15.75" customHeight="1">
      <c r="C71" s="82"/>
      <c r="D71" s="83"/>
      <c r="E71" s="77" t="s">
        <v>2395</v>
      </c>
    </row>
    <row r="72" ht="15.75" customHeight="1">
      <c r="C72" s="84"/>
      <c r="D72" s="85"/>
      <c r="E72" s="77" t="s">
        <v>2398</v>
      </c>
    </row>
    <row r="73" ht="15.75" customHeight="1">
      <c r="C73" s="86"/>
      <c r="D73" s="87"/>
      <c r="E73" s="77" t="s">
        <v>129</v>
      </c>
    </row>
    <row r="74" ht="15.75" customHeight="1">
      <c r="C74" s="88"/>
      <c r="D74" s="89"/>
      <c r="E74" s="77" t="s">
        <v>2411</v>
      </c>
    </row>
    <row r="75" ht="15.75" customHeight="1">
      <c r="D75" s="73"/>
      <c r="E75" s="90" t="s">
        <v>2415</v>
      </c>
    </row>
    <row r="76" ht="15.75" customHeight="1">
      <c r="D76" s="73"/>
    </row>
    <row r="77" ht="15.75" customHeight="1">
      <c r="D77" s="73"/>
    </row>
    <row r="78" ht="15.75" customHeight="1">
      <c r="D78" s="73"/>
    </row>
    <row r="79" ht="15.75" customHeight="1">
      <c r="D79" s="73"/>
    </row>
    <row r="80" ht="15.75" customHeight="1">
      <c r="D80" s="73"/>
    </row>
    <row r="81" ht="15.75" customHeight="1">
      <c r="D81" s="73"/>
    </row>
    <row r="82" ht="15.75" customHeight="1">
      <c r="D82" s="73"/>
    </row>
    <row r="83" ht="15.75" customHeight="1">
      <c r="D83" s="73"/>
    </row>
    <row r="84" ht="15.75" customHeight="1">
      <c r="D84" s="73"/>
    </row>
    <row r="85" ht="15.75" customHeight="1">
      <c r="D85" s="73"/>
    </row>
    <row r="86" ht="15.75" customHeight="1">
      <c r="D86" s="73"/>
    </row>
    <row r="87" ht="15.75" customHeight="1">
      <c r="D87" s="73"/>
    </row>
    <row r="88" ht="15.75" customHeight="1">
      <c r="D88" s="73"/>
    </row>
    <row r="89" ht="15.75" customHeight="1">
      <c r="D89" s="73"/>
    </row>
    <row r="90" ht="15.75" customHeight="1">
      <c r="D90" s="73"/>
    </row>
    <row r="91" ht="15.75" customHeight="1">
      <c r="D91" s="73"/>
    </row>
    <row r="92" ht="15.75" customHeight="1">
      <c r="D92" s="73"/>
    </row>
    <row r="93" ht="15.75" customHeight="1">
      <c r="D93" s="73"/>
    </row>
    <row r="94" ht="15.75" customHeight="1">
      <c r="D94" s="73"/>
    </row>
    <row r="95" ht="15.75" customHeight="1">
      <c r="D95" s="73"/>
    </row>
    <row r="96" ht="15.75" customHeight="1">
      <c r="D96" s="73"/>
    </row>
    <row r="97" ht="15.75" customHeight="1">
      <c r="D97" s="73"/>
    </row>
    <row r="98" ht="15.75" customHeight="1">
      <c r="D98" s="73"/>
    </row>
    <row r="99" ht="15.75" customHeight="1">
      <c r="D99" s="73"/>
    </row>
    <row r="100" ht="15.75" customHeight="1">
      <c r="D100" s="73"/>
    </row>
    <row r="101" ht="15.75" customHeight="1">
      <c r="D101" s="73"/>
    </row>
    <row r="102" ht="15.75" customHeight="1">
      <c r="D102" s="73"/>
    </row>
    <row r="103" ht="15.75" customHeight="1">
      <c r="D103" s="73"/>
    </row>
    <row r="104" ht="15.75" customHeight="1">
      <c r="D104" s="73"/>
    </row>
    <row r="105" ht="15.75" customHeight="1">
      <c r="D105" s="73"/>
    </row>
    <row r="106" ht="15.75" customHeight="1">
      <c r="D106" s="73"/>
    </row>
    <row r="107" ht="15.75" customHeight="1">
      <c r="D107" s="73"/>
    </row>
    <row r="108" ht="15.75" customHeight="1">
      <c r="D108" s="73"/>
    </row>
    <row r="109" ht="15.75" customHeight="1">
      <c r="D109" s="73"/>
    </row>
    <row r="110" ht="15.75" customHeight="1">
      <c r="D110" s="73"/>
    </row>
    <row r="111" ht="15.75" customHeight="1">
      <c r="D111" s="73"/>
    </row>
    <row r="112" ht="15.75" customHeight="1">
      <c r="D112" s="73"/>
    </row>
    <row r="113" ht="15.75" customHeight="1">
      <c r="D113" s="73"/>
    </row>
    <row r="114" ht="15.75" customHeight="1">
      <c r="D114" s="73"/>
    </row>
    <row r="115" ht="15.75" customHeight="1">
      <c r="D115" s="73"/>
    </row>
    <row r="116" ht="15.75" customHeight="1">
      <c r="D116" s="73"/>
    </row>
    <row r="117" ht="15.75" customHeight="1">
      <c r="D117" s="73"/>
    </row>
    <row r="118" ht="15.75" customHeight="1">
      <c r="D118" s="73"/>
    </row>
    <row r="119" ht="15.75" customHeight="1">
      <c r="D119" s="73"/>
    </row>
    <row r="120" ht="15.75" customHeight="1">
      <c r="D120" s="73"/>
    </row>
    <row r="121" ht="15.75" customHeight="1">
      <c r="D121" s="73"/>
    </row>
    <row r="122" ht="15.75" customHeight="1">
      <c r="D122" s="73"/>
    </row>
    <row r="123" ht="15.75" customHeight="1">
      <c r="D123" s="73"/>
    </row>
    <row r="124" ht="15.75" customHeight="1">
      <c r="D124" s="73"/>
    </row>
    <row r="125" ht="15.75" customHeight="1">
      <c r="D125" s="73"/>
    </row>
    <row r="126" ht="15.75" customHeight="1">
      <c r="D126" s="73"/>
    </row>
    <row r="127" ht="15.75" customHeight="1">
      <c r="D127" s="73"/>
    </row>
    <row r="128" ht="15.75" customHeight="1">
      <c r="D128" s="73"/>
    </row>
    <row r="129" ht="15.75" customHeight="1">
      <c r="D129" s="73"/>
    </row>
    <row r="130" ht="15.75" customHeight="1">
      <c r="D130" s="73"/>
    </row>
    <row r="131" ht="15.75" customHeight="1">
      <c r="D131" s="73"/>
    </row>
    <row r="132" ht="15.75" customHeight="1">
      <c r="D132" s="73"/>
    </row>
    <row r="133" ht="15.75" customHeight="1">
      <c r="D133" s="73"/>
    </row>
    <row r="134" ht="15.75" customHeight="1">
      <c r="D134" s="73"/>
    </row>
    <row r="135" ht="15.75" customHeight="1">
      <c r="D135" s="73"/>
    </row>
    <row r="136" ht="15.75" customHeight="1">
      <c r="D136" s="73"/>
    </row>
    <row r="137" ht="15.75" customHeight="1">
      <c r="D137" s="73"/>
    </row>
    <row r="138" ht="15.75" customHeight="1">
      <c r="D138" s="73"/>
    </row>
    <row r="139" ht="15.75" customHeight="1">
      <c r="D139" s="73"/>
    </row>
    <row r="140" ht="15.75" customHeight="1">
      <c r="D140" s="73"/>
    </row>
    <row r="141" ht="15.75" customHeight="1">
      <c r="D141" s="73"/>
    </row>
    <row r="142" ht="15.75" customHeight="1">
      <c r="D142" s="73"/>
    </row>
    <row r="143" ht="15.75" customHeight="1">
      <c r="D143" s="73"/>
    </row>
    <row r="144" ht="15.75" customHeight="1">
      <c r="D144" s="73"/>
    </row>
    <row r="145" ht="15.75" customHeight="1">
      <c r="D145" s="73"/>
    </row>
    <row r="146" ht="15.75" customHeight="1">
      <c r="D146" s="73"/>
    </row>
    <row r="147" ht="15.75" customHeight="1">
      <c r="D147" s="73"/>
    </row>
    <row r="148" ht="15.75" customHeight="1">
      <c r="D148" s="73"/>
    </row>
    <row r="149" ht="15.75" customHeight="1">
      <c r="D149" s="73"/>
    </row>
    <row r="150" ht="15.75" customHeight="1">
      <c r="D150" s="73"/>
    </row>
    <row r="151" ht="15.75" customHeight="1">
      <c r="D151" s="73"/>
    </row>
    <row r="152" ht="15.75" customHeight="1">
      <c r="D152" s="73"/>
    </row>
    <row r="153" ht="15.75" customHeight="1">
      <c r="D153" s="73"/>
    </row>
    <row r="154" ht="15.75" customHeight="1">
      <c r="D154" s="73"/>
    </row>
    <row r="155" ht="15.75" customHeight="1">
      <c r="D155" s="73"/>
    </row>
    <row r="156" ht="15.75" customHeight="1">
      <c r="D156" s="73"/>
    </row>
    <row r="157" ht="15.75" customHeight="1">
      <c r="D157" s="73"/>
    </row>
    <row r="158" ht="15.75" customHeight="1">
      <c r="D158" s="73"/>
    </row>
    <row r="159" ht="15.75" customHeight="1">
      <c r="D159" s="73"/>
    </row>
    <row r="160" ht="15.75" customHeight="1">
      <c r="D160" s="73"/>
    </row>
    <row r="161" ht="15.75" customHeight="1">
      <c r="D161" s="73"/>
    </row>
    <row r="162" ht="15.75" customHeight="1">
      <c r="D162" s="73"/>
    </row>
    <row r="163" ht="15.75" customHeight="1">
      <c r="D163" s="73"/>
    </row>
    <row r="164" ht="15.75" customHeight="1">
      <c r="D164" s="73"/>
    </row>
    <row r="165" ht="15.75" customHeight="1">
      <c r="D165" s="73"/>
    </row>
    <row r="166" ht="15.75" customHeight="1">
      <c r="D166" s="73"/>
    </row>
    <row r="167" ht="15.75" customHeight="1">
      <c r="D167" s="73"/>
    </row>
    <row r="168" ht="15.75" customHeight="1">
      <c r="D168" s="73"/>
    </row>
    <row r="169" ht="15.75" customHeight="1">
      <c r="D169" s="73"/>
    </row>
    <row r="170" ht="15.75" customHeight="1">
      <c r="D170" s="73"/>
    </row>
    <row r="171" ht="15.75" customHeight="1">
      <c r="D171" s="73"/>
    </row>
    <row r="172" ht="15.75" customHeight="1">
      <c r="D172" s="73"/>
    </row>
    <row r="173" ht="15.75" customHeight="1">
      <c r="D173" s="73"/>
    </row>
    <row r="174" ht="15.75" customHeight="1">
      <c r="D174" s="73"/>
    </row>
    <row r="175" ht="15.75" customHeight="1">
      <c r="D175" s="73"/>
    </row>
    <row r="176" ht="15.75" customHeight="1">
      <c r="D176" s="73"/>
    </row>
    <row r="177" ht="15.75" customHeight="1">
      <c r="D177" s="73"/>
    </row>
    <row r="178" ht="15.75" customHeight="1">
      <c r="D178" s="73"/>
    </row>
    <row r="179" ht="15.75" customHeight="1">
      <c r="D179" s="73"/>
    </row>
    <row r="180" ht="15.75" customHeight="1">
      <c r="D180" s="73"/>
    </row>
    <row r="181" ht="15.75" customHeight="1">
      <c r="D181" s="73"/>
    </row>
    <row r="182" ht="15.75" customHeight="1">
      <c r="D182" s="73"/>
    </row>
    <row r="183" ht="15.75" customHeight="1">
      <c r="D183" s="73"/>
    </row>
    <row r="184" ht="15.75" customHeight="1">
      <c r="D184" s="73"/>
    </row>
    <row r="185" ht="15.75" customHeight="1">
      <c r="D185" s="73"/>
    </row>
    <row r="186" ht="15.75" customHeight="1">
      <c r="D186" s="73"/>
    </row>
    <row r="187" ht="15.75" customHeight="1">
      <c r="D187" s="73"/>
    </row>
    <row r="188" ht="15.75" customHeight="1">
      <c r="D188" s="73"/>
    </row>
    <row r="189" ht="15.75" customHeight="1">
      <c r="D189" s="73"/>
    </row>
    <row r="190" ht="15.75" customHeight="1">
      <c r="D190" s="73"/>
    </row>
    <row r="191" ht="15.75" customHeight="1">
      <c r="D191" s="73"/>
    </row>
    <row r="192" ht="15.75" customHeight="1">
      <c r="D192" s="73"/>
    </row>
    <row r="193" ht="15.75" customHeight="1">
      <c r="D193" s="73"/>
    </row>
    <row r="194" ht="15.75" customHeight="1">
      <c r="D194" s="73"/>
    </row>
    <row r="195" ht="15.75" customHeight="1">
      <c r="D195" s="73"/>
    </row>
    <row r="196" ht="15.75" customHeight="1">
      <c r="D196" s="73"/>
    </row>
    <row r="197" ht="15.75" customHeight="1">
      <c r="D197" s="73"/>
    </row>
    <row r="198" ht="15.75" customHeight="1">
      <c r="D198" s="73"/>
    </row>
    <row r="199" ht="15.75" customHeight="1">
      <c r="D199" s="73"/>
    </row>
    <row r="200" ht="15.75" customHeight="1">
      <c r="D200" s="73"/>
    </row>
    <row r="201" ht="15.75" customHeight="1">
      <c r="D201" s="73"/>
    </row>
    <row r="202" ht="15.75" customHeight="1">
      <c r="D202" s="73"/>
    </row>
    <row r="203" ht="15.75" customHeight="1">
      <c r="D203" s="73"/>
    </row>
    <row r="204" ht="15.75" customHeight="1">
      <c r="D204" s="73"/>
    </row>
    <row r="205" ht="15.75" customHeight="1">
      <c r="D205" s="73"/>
    </row>
    <row r="206" ht="15.75" customHeight="1">
      <c r="D206" s="73"/>
    </row>
    <row r="207" ht="15.75" customHeight="1">
      <c r="D207" s="73"/>
    </row>
    <row r="208" ht="15.75" customHeight="1">
      <c r="D208" s="73"/>
    </row>
    <row r="209" ht="15.75" customHeight="1">
      <c r="D209" s="73"/>
    </row>
    <row r="210" ht="15.75" customHeight="1">
      <c r="D210" s="73"/>
    </row>
    <row r="211" ht="15.75" customHeight="1">
      <c r="D211" s="73"/>
    </row>
    <row r="212" ht="15.75" customHeight="1">
      <c r="D212" s="73"/>
    </row>
    <row r="213" ht="15.75" customHeight="1">
      <c r="D213" s="73"/>
    </row>
    <row r="214" ht="15.75" customHeight="1">
      <c r="D214" s="73"/>
    </row>
    <row r="215" ht="15.75" customHeight="1">
      <c r="D215" s="73"/>
    </row>
    <row r="216" ht="15.75" customHeight="1">
      <c r="D216" s="73"/>
    </row>
    <row r="217" ht="15.75" customHeight="1">
      <c r="D217" s="73"/>
    </row>
    <row r="218" ht="15.75" customHeight="1">
      <c r="D218" s="73"/>
    </row>
    <row r="219" ht="15.75" customHeight="1">
      <c r="D219" s="73"/>
    </row>
    <row r="220" ht="15.75" customHeight="1">
      <c r="D220" s="73"/>
    </row>
    <row r="221" ht="15.75" customHeight="1">
      <c r="D221" s="73"/>
    </row>
    <row r="222" ht="15.75" customHeight="1">
      <c r="D222" s="73"/>
    </row>
    <row r="223" ht="15.75" customHeight="1">
      <c r="D223" s="73"/>
    </row>
    <row r="224" ht="15.75" customHeight="1">
      <c r="D224" s="73"/>
    </row>
    <row r="225" ht="15.75" customHeight="1">
      <c r="D225" s="73"/>
    </row>
    <row r="226" ht="15.75" customHeight="1">
      <c r="D226" s="73"/>
    </row>
    <row r="227" ht="15.75" customHeight="1">
      <c r="D227" s="73"/>
    </row>
    <row r="228" ht="15.75" customHeight="1">
      <c r="D228" s="73"/>
    </row>
    <row r="229" ht="15.75" customHeight="1">
      <c r="D229" s="73"/>
    </row>
    <row r="230" ht="15.75" customHeight="1">
      <c r="D230" s="73"/>
    </row>
    <row r="231" ht="15.75" customHeight="1">
      <c r="D231" s="73"/>
    </row>
    <row r="232" ht="15.75" customHeight="1">
      <c r="D232" s="73"/>
    </row>
    <row r="233" ht="15.75" customHeight="1">
      <c r="D233" s="73"/>
    </row>
    <row r="234" ht="15.75" customHeight="1">
      <c r="D234" s="73"/>
    </row>
    <row r="235" ht="15.75" customHeight="1">
      <c r="D235" s="73"/>
    </row>
    <row r="236" ht="15.75" customHeight="1">
      <c r="D236" s="73"/>
    </row>
    <row r="237" ht="15.75" customHeight="1">
      <c r="D237" s="73"/>
    </row>
    <row r="238" ht="15.75" customHeight="1">
      <c r="D238" s="73"/>
    </row>
    <row r="239" ht="15.75" customHeight="1">
      <c r="D239" s="73"/>
    </row>
    <row r="240" ht="15.75" customHeight="1">
      <c r="D240" s="73"/>
    </row>
    <row r="241" ht="15.75" customHeight="1">
      <c r="D241" s="73"/>
    </row>
    <row r="242" ht="15.75" customHeight="1">
      <c r="D242" s="73"/>
    </row>
    <row r="243" ht="15.75" customHeight="1">
      <c r="D243" s="73"/>
    </row>
    <row r="244" ht="15.75" customHeight="1">
      <c r="D244" s="73"/>
    </row>
    <row r="245" ht="15.75" customHeight="1">
      <c r="D245" s="73"/>
    </row>
    <row r="246" ht="15.75" customHeight="1">
      <c r="D246" s="73"/>
    </row>
    <row r="247" ht="15.75" customHeight="1">
      <c r="D247" s="73"/>
    </row>
    <row r="248" ht="15.75" customHeight="1">
      <c r="D248" s="73"/>
    </row>
    <row r="249" ht="15.75" customHeight="1">
      <c r="D249" s="73"/>
    </row>
    <row r="250" ht="15.75" customHeight="1">
      <c r="D250" s="73"/>
    </row>
    <row r="251" ht="15.75" customHeight="1">
      <c r="D251" s="73"/>
    </row>
    <row r="252" ht="15.75" customHeight="1">
      <c r="D252" s="73"/>
    </row>
    <row r="253" ht="15.75" customHeight="1">
      <c r="D253" s="73"/>
    </row>
    <row r="254" ht="15.75" customHeight="1">
      <c r="D254" s="73"/>
    </row>
    <row r="255" ht="15.75" customHeight="1">
      <c r="D255" s="73"/>
    </row>
    <row r="256" ht="15.75" customHeight="1">
      <c r="D256" s="73"/>
    </row>
    <row r="257" ht="15.75" customHeight="1">
      <c r="D257" s="73"/>
    </row>
    <row r="258" ht="15.75" customHeight="1">
      <c r="D258" s="73"/>
    </row>
    <row r="259" ht="15.75" customHeight="1">
      <c r="D259" s="73"/>
    </row>
    <row r="260" ht="15.75" customHeight="1">
      <c r="D260" s="73"/>
    </row>
    <row r="261" ht="15.75" customHeight="1">
      <c r="D261" s="73"/>
    </row>
    <row r="262" ht="15.75" customHeight="1">
      <c r="D262" s="73"/>
    </row>
    <row r="263" ht="15.75" customHeight="1">
      <c r="D263" s="73"/>
    </row>
    <row r="264" ht="15.75" customHeight="1">
      <c r="D264" s="73"/>
    </row>
    <row r="265" ht="15.75" customHeight="1">
      <c r="D265" s="73"/>
    </row>
    <row r="266" ht="15.75" customHeight="1">
      <c r="D266" s="73"/>
    </row>
    <row r="267" ht="15.75" customHeight="1">
      <c r="D267" s="73"/>
    </row>
    <row r="268" ht="15.75" customHeight="1">
      <c r="D268" s="73"/>
    </row>
    <row r="269" ht="15.75" customHeight="1">
      <c r="D269" s="73"/>
    </row>
    <row r="270" ht="15.75" customHeight="1">
      <c r="D270" s="73"/>
    </row>
    <row r="271" ht="15.75" customHeight="1">
      <c r="D271" s="73"/>
    </row>
    <row r="272" ht="15.75" customHeight="1">
      <c r="D272" s="73"/>
    </row>
    <row r="273" ht="15.75" customHeight="1">
      <c r="D273" s="73"/>
    </row>
    <row r="274" ht="15.75" customHeight="1">
      <c r="D274" s="73"/>
    </row>
    <row r="275" ht="15.75" customHeight="1">
      <c r="D275" s="73"/>
    </row>
    <row r="276" ht="15.75" customHeight="1">
      <c r="D276" s="73"/>
    </row>
    <row r="277" ht="15.75" customHeight="1">
      <c r="D277" s="73"/>
    </row>
    <row r="278" ht="15.75" customHeight="1">
      <c r="D278" s="73"/>
    </row>
    <row r="279" ht="15.75" customHeight="1">
      <c r="D279" s="73"/>
    </row>
    <row r="280" ht="15.75" customHeight="1">
      <c r="D280" s="73"/>
    </row>
    <row r="281" ht="15.75" customHeight="1">
      <c r="D281" s="73"/>
    </row>
    <row r="282" ht="15.75" customHeight="1">
      <c r="D282" s="73"/>
    </row>
    <row r="283" ht="15.75" customHeight="1">
      <c r="D283" s="73"/>
    </row>
    <row r="284" ht="15.75" customHeight="1">
      <c r="D284" s="73"/>
    </row>
    <row r="285" ht="15.75" customHeight="1">
      <c r="D285" s="73"/>
    </row>
    <row r="286" ht="15.75" customHeight="1">
      <c r="D286" s="73"/>
    </row>
    <row r="287" ht="15.75" customHeight="1">
      <c r="D287" s="73"/>
    </row>
    <row r="288" ht="15.75" customHeight="1">
      <c r="D288" s="73"/>
    </row>
    <row r="289" ht="15.75" customHeight="1">
      <c r="D289" s="73"/>
    </row>
    <row r="290" ht="15.75" customHeight="1">
      <c r="D290" s="73"/>
    </row>
    <row r="291" ht="15.75" customHeight="1">
      <c r="D291" s="73"/>
    </row>
    <row r="292" ht="15.75" customHeight="1">
      <c r="D292" s="73"/>
    </row>
    <row r="293" ht="15.75" customHeight="1">
      <c r="D293" s="73"/>
    </row>
    <row r="294" ht="15.75" customHeight="1">
      <c r="D294" s="73"/>
    </row>
    <row r="295" ht="15.75" customHeight="1">
      <c r="D295" s="73"/>
    </row>
    <row r="296" ht="15.75" customHeight="1">
      <c r="D296" s="73"/>
    </row>
    <row r="297" ht="15.75" customHeight="1">
      <c r="D297" s="73"/>
    </row>
    <row r="298" ht="15.75" customHeight="1">
      <c r="D298" s="73"/>
    </row>
    <row r="299" ht="15.75" customHeight="1">
      <c r="D299" s="73"/>
    </row>
    <row r="300" ht="15.75" customHeight="1">
      <c r="D300" s="73"/>
    </row>
    <row r="301" ht="15.75" customHeight="1">
      <c r="D301" s="73"/>
    </row>
    <row r="302" ht="15.75" customHeight="1">
      <c r="D302" s="73"/>
    </row>
    <row r="303" ht="15.75" customHeight="1">
      <c r="D303" s="73"/>
    </row>
    <row r="304" ht="15.75" customHeight="1">
      <c r="D304" s="73"/>
    </row>
    <row r="305" ht="15.75" customHeight="1">
      <c r="D305" s="73"/>
    </row>
    <row r="306" ht="15.75" customHeight="1">
      <c r="D306" s="73"/>
    </row>
    <row r="307" ht="15.75" customHeight="1">
      <c r="D307" s="73"/>
    </row>
    <row r="308" ht="15.75" customHeight="1">
      <c r="D308" s="73"/>
    </row>
    <row r="309" ht="15.75" customHeight="1">
      <c r="D309" s="73"/>
    </row>
    <row r="310" ht="15.75" customHeight="1">
      <c r="D310" s="73"/>
    </row>
    <row r="311" ht="15.75" customHeight="1">
      <c r="D311" s="73"/>
    </row>
    <row r="312" ht="15.75" customHeight="1">
      <c r="D312" s="73"/>
    </row>
    <row r="313" ht="15.75" customHeight="1">
      <c r="D313" s="73"/>
    </row>
    <row r="314" ht="15.75" customHeight="1">
      <c r="D314" s="73"/>
    </row>
    <row r="315" ht="15.75" customHeight="1">
      <c r="D315" s="73"/>
    </row>
    <row r="316" ht="15.75" customHeight="1">
      <c r="D316" s="73"/>
    </row>
    <row r="317" ht="15.75" customHeight="1">
      <c r="D317" s="73"/>
    </row>
    <row r="318" ht="15.75" customHeight="1">
      <c r="D318" s="73"/>
    </row>
    <row r="319" ht="15.75" customHeight="1">
      <c r="D319" s="73"/>
    </row>
    <row r="320" ht="15.75" customHeight="1">
      <c r="D320" s="73"/>
    </row>
    <row r="321" ht="15.75" customHeight="1">
      <c r="D321" s="73"/>
    </row>
    <row r="322" ht="15.75" customHeight="1">
      <c r="D322" s="73"/>
    </row>
    <row r="323" ht="15.75" customHeight="1">
      <c r="D323" s="73"/>
    </row>
    <row r="324" ht="15.75" customHeight="1">
      <c r="D324" s="73"/>
    </row>
    <row r="325" ht="15.75" customHeight="1">
      <c r="D325" s="73"/>
    </row>
    <row r="326" ht="15.75" customHeight="1">
      <c r="D326" s="73"/>
    </row>
    <row r="327" ht="15.75" customHeight="1">
      <c r="D327" s="73"/>
    </row>
    <row r="328" ht="15.75" customHeight="1">
      <c r="D328" s="73"/>
    </row>
    <row r="329" ht="15.75" customHeight="1">
      <c r="D329" s="73"/>
    </row>
    <row r="330" ht="15.75" customHeight="1">
      <c r="D330" s="73"/>
    </row>
    <row r="331" ht="15.75" customHeight="1">
      <c r="D331" s="73"/>
    </row>
    <row r="332" ht="15.75" customHeight="1">
      <c r="D332" s="73"/>
    </row>
    <row r="333" ht="15.75" customHeight="1">
      <c r="D333" s="73"/>
    </row>
    <row r="334" ht="15.75" customHeight="1">
      <c r="D334" s="73"/>
    </row>
    <row r="335" ht="15.75" customHeight="1">
      <c r="D335" s="73"/>
    </row>
    <row r="336" ht="15.75" customHeight="1">
      <c r="D336" s="73"/>
    </row>
    <row r="337" ht="15.75" customHeight="1">
      <c r="D337" s="73"/>
    </row>
    <row r="338" ht="15.75" customHeight="1">
      <c r="D338" s="73"/>
    </row>
    <row r="339" ht="15.75" customHeight="1">
      <c r="D339" s="73"/>
    </row>
    <row r="340" ht="15.75" customHeight="1">
      <c r="D340" s="73"/>
    </row>
    <row r="341" ht="15.75" customHeight="1">
      <c r="D341" s="73"/>
    </row>
    <row r="342" ht="15.75" customHeight="1">
      <c r="D342" s="73"/>
    </row>
    <row r="343" ht="15.75" customHeight="1">
      <c r="D343" s="73"/>
    </row>
    <row r="344" ht="15.75" customHeight="1">
      <c r="D344" s="73"/>
    </row>
    <row r="345" ht="15.75" customHeight="1">
      <c r="D345" s="73"/>
    </row>
    <row r="346" ht="15.75" customHeight="1">
      <c r="D346" s="73"/>
    </row>
    <row r="347" ht="15.75" customHeight="1">
      <c r="D347" s="73"/>
    </row>
    <row r="348" ht="15.75" customHeight="1">
      <c r="D348" s="73"/>
    </row>
    <row r="349" ht="15.75" customHeight="1">
      <c r="D349" s="73"/>
    </row>
    <row r="350" ht="15.75" customHeight="1">
      <c r="D350" s="73"/>
    </row>
    <row r="351" ht="15.75" customHeight="1">
      <c r="D351" s="73"/>
    </row>
    <row r="352" ht="15.75" customHeight="1">
      <c r="D352" s="73"/>
    </row>
    <row r="353" ht="15.75" customHeight="1">
      <c r="D353" s="73"/>
    </row>
    <row r="354" ht="15.75" customHeight="1">
      <c r="D354" s="73"/>
    </row>
    <row r="355" ht="15.75" customHeight="1">
      <c r="D355" s="73"/>
    </row>
    <row r="356" ht="15.75" customHeight="1">
      <c r="D356" s="73"/>
    </row>
    <row r="357" ht="15.75" customHeight="1">
      <c r="D357" s="73"/>
    </row>
    <row r="358" ht="15.75" customHeight="1">
      <c r="D358" s="73"/>
    </row>
    <row r="359" ht="15.75" customHeight="1">
      <c r="D359" s="73"/>
    </row>
    <row r="360" ht="15.75" customHeight="1">
      <c r="D360" s="73"/>
    </row>
    <row r="361" ht="15.75" customHeight="1">
      <c r="D361" s="73"/>
    </row>
    <row r="362" ht="15.75" customHeight="1">
      <c r="D362" s="73"/>
    </row>
    <row r="363" ht="15.75" customHeight="1">
      <c r="D363" s="73"/>
    </row>
    <row r="364" ht="15.75" customHeight="1">
      <c r="D364" s="73"/>
    </row>
    <row r="365" ht="15.75" customHeight="1">
      <c r="D365" s="73"/>
    </row>
    <row r="366" ht="15.75" customHeight="1">
      <c r="D366" s="73"/>
    </row>
    <row r="367" ht="15.75" customHeight="1">
      <c r="D367" s="73"/>
    </row>
    <row r="368" ht="15.75" customHeight="1">
      <c r="D368" s="73"/>
    </row>
    <row r="369" ht="15.75" customHeight="1">
      <c r="D369" s="73"/>
    </row>
    <row r="370" ht="15.75" customHeight="1">
      <c r="D370" s="73"/>
    </row>
    <row r="371" ht="15.75" customHeight="1">
      <c r="D371" s="73"/>
    </row>
    <row r="372" ht="15.75" customHeight="1">
      <c r="D372" s="73"/>
    </row>
    <row r="373" ht="15.75" customHeight="1">
      <c r="D373" s="73"/>
    </row>
    <row r="374" ht="15.75" customHeight="1">
      <c r="D374" s="73"/>
    </row>
    <row r="375" ht="15.75" customHeight="1">
      <c r="D375" s="73"/>
    </row>
    <row r="376" ht="15.75" customHeight="1">
      <c r="D376" s="73"/>
    </row>
    <row r="377" ht="15.75" customHeight="1">
      <c r="D377" s="73"/>
    </row>
    <row r="378" ht="15.75" customHeight="1">
      <c r="D378" s="73"/>
    </row>
    <row r="379" ht="15.75" customHeight="1">
      <c r="D379" s="73"/>
    </row>
    <row r="380" ht="15.75" customHeight="1">
      <c r="D380" s="73"/>
    </row>
    <row r="381" ht="15.75" customHeight="1">
      <c r="D381" s="73"/>
    </row>
    <row r="382" ht="15.75" customHeight="1">
      <c r="D382" s="73"/>
    </row>
    <row r="383" ht="15.75" customHeight="1">
      <c r="D383" s="73"/>
    </row>
    <row r="384" ht="15.75" customHeight="1">
      <c r="D384" s="73"/>
    </row>
    <row r="385" ht="15.75" customHeight="1">
      <c r="D385" s="73"/>
    </row>
    <row r="386" ht="15.75" customHeight="1">
      <c r="D386" s="73"/>
    </row>
    <row r="387" ht="15.75" customHeight="1">
      <c r="D387" s="73"/>
    </row>
    <row r="388" ht="15.75" customHeight="1">
      <c r="D388" s="73"/>
    </row>
    <row r="389" ht="15.75" customHeight="1">
      <c r="D389" s="73"/>
    </row>
    <row r="390" ht="15.75" customHeight="1">
      <c r="D390" s="73"/>
    </row>
    <row r="391" ht="15.75" customHeight="1">
      <c r="D391" s="73"/>
    </row>
    <row r="392" ht="15.75" customHeight="1">
      <c r="D392" s="73"/>
    </row>
    <row r="393" ht="15.75" customHeight="1">
      <c r="D393" s="73"/>
    </row>
    <row r="394" ht="15.75" customHeight="1">
      <c r="D394" s="73"/>
    </row>
    <row r="395" ht="15.75" customHeight="1">
      <c r="D395" s="73"/>
    </row>
    <row r="396" ht="15.75" customHeight="1">
      <c r="D396" s="73"/>
    </row>
    <row r="397" ht="15.75" customHeight="1">
      <c r="D397" s="73"/>
    </row>
    <row r="398" ht="15.75" customHeight="1">
      <c r="D398" s="73"/>
    </row>
    <row r="399" ht="15.75" customHeight="1">
      <c r="D399" s="73"/>
    </row>
    <row r="400" ht="15.75" customHeight="1">
      <c r="D400" s="73"/>
    </row>
    <row r="401" ht="15.75" customHeight="1">
      <c r="D401" s="73"/>
    </row>
    <row r="402" ht="15.75" customHeight="1">
      <c r="D402" s="73"/>
    </row>
    <row r="403" ht="15.75" customHeight="1">
      <c r="D403" s="73"/>
    </row>
    <row r="404" ht="15.75" customHeight="1">
      <c r="D404" s="73"/>
    </row>
    <row r="405" ht="15.75" customHeight="1">
      <c r="D405" s="73"/>
    </row>
    <row r="406" ht="15.75" customHeight="1">
      <c r="D406" s="73"/>
    </row>
    <row r="407" ht="15.75" customHeight="1">
      <c r="D407" s="73"/>
    </row>
    <row r="408" ht="15.75" customHeight="1">
      <c r="D408" s="73"/>
    </row>
    <row r="409" ht="15.75" customHeight="1">
      <c r="D409" s="73"/>
    </row>
    <row r="410" ht="15.75" customHeight="1">
      <c r="D410" s="73"/>
    </row>
    <row r="411" ht="15.75" customHeight="1">
      <c r="D411" s="73"/>
    </row>
    <row r="412" ht="15.75" customHeight="1">
      <c r="D412" s="73"/>
    </row>
    <row r="413" ht="15.75" customHeight="1">
      <c r="D413" s="73"/>
    </row>
    <row r="414" ht="15.75" customHeight="1">
      <c r="D414" s="73"/>
    </row>
    <row r="415" ht="15.75" customHeight="1">
      <c r="D415" s="73"/>
    </row>
    <row r="416" ht="15.75" customHeight="1">
      <c r="D416" s="73"/>
    </row>
    <row r="417" ht="15.75" customHeight="1">
      <c r="D417" s="73"/>
    </row>
    <row r="418" ht="15.75" customHeight="1">
      <c r="D418" s="73"/>
    </row>
    <row r="419" ht="15.75" customHeight="1">
      <c r="D419" s="73"/>
    </row>
    <row r="420" ht="15.75" customHeight="1">
      <c r="D420" s="73"/>
    </row>
    <row r="421" ht="15.75" customHeight="1">
      <c r="D421" s="73"/>
    </row>
    <row r="422" ht="15.75" customHeight="1">
      <c r="D422" s="73"/>
    </row>
    <row r="423" ht="15.75" customHeight="1">
      <c r="D423" s="73"/>
    </row>
    <row r="424" ht="15.75" customHeight="1">
      <c r="D424" s="73"/>
    </row>
    <row r="425" ht="15.75" customHeight="1">
      <c r="D425" s="73"/>
    </row>
    <row r="426" ht="15.75" customHeight="1">
      <c r="D426" s="73"/>
    </row>
    <row r="427" ht="15.75" customHeight="1">
      <c r="D427" s="73"/>
    </row>
    <row r="428" ht="15.75" customHeight="1">
      <c r="D428" s="73"/>
    </row>
    <row r="429" ht="15.75" customHeight="1">
      <c r="D429" s="73"/>
    </row>
    <row r="430" ht="15.75" customHeight="1">
      <c r="D430" s="73"/>
    </row>
    <row r="431" ht="15.75" customHeight="1">
      <c r="D431" s="73"/>
    </row>
    <row r="432" ht="15.75" customHeight="1">
      <c r="D432" s="73"/>
    </row>
    <row r="433" ht="15.75" customHeight="1">
      <c r="D433" s="73"/>
    </row>
    <row r="434" ht="15.75" customHeight="1">
      <c r="D434" s="73"/>
    </row>
    <row r="435" ht="15.75" customHeight="1">
      <c r="D435" s="73"/>
    </row>
    <row r="436" ht="15.75" customHeight="1">
      <c r="D436" s="73"/>
    </row>
    <row r="437" ht="15.75" customHeight="1">
      <c r="D437" s="73"/>
    </row>
    <row r="438" ht="15.75" customHeight="1">
      <c r="D438" s="73"/>
    </row>
    <row r="439" ht="15.75" customHeight="1">
      <c r="D439" s="73"/>
    </row>
    <row r="440" ht="15.75" customHeight="1">
      <c r="D440" s="73"/>
    </row>
    <row r="441" ht="15.75" customHeight="1">
      <c r="D441" s="73"/>
    </row>
    <row r="442" ht="15.75" customHeight="1">
      <c r="D442" s="73"/>
    </row>
    <row r="443" ht="15.75" customHeight="1">
      <c r="D443" s="73"/>
    </row>
    <row r="444" ht="15.75" customHeight="1">
      <c r="D444" s="73"/>
    </row>
    <row r="445" ht="15.75" customHeight="1">
      <c r="D445" s="73"/>
    </row>
    <row r="446" ht="15.75" customHeight="1">
      <c r="D446" s="73"/>
    </row>
    <row r="447" ht="15.75" customHeight="1">
      <c r="D447" s="73"/>
    </row>
    <row r="448" ht="15.75" customHeight="1">
      <c r="D448" s="73"/>
    </row>
    <row r="449" ht="15.75" customHeight="1">
      <c r="D449" s="73"/>
    </row>
    <row r="450" ht="15.75" customHeight="1">
      <c r="D450" s="73"/>
    </row>
    <row r="451" ht="15.75" customHeight="1">
      <c r="D451" s="73"/>
    </row>
    <row r="452" ht="15.75" customHeight="1">
      <c r="D452" s="73"/>
    </row>
    <row r="453" ht="15.75" customHeight="1">
      <c r="D453" s="73"/>
    </row>
    <row r="454" ht="15.75" customHeight="1">
      <c r="D454" s="73"/>
    </row>
    <row r="455" ht="15.75" customHeight="1">
      <c r="D455" s="73"/>
    </row>
    <row r="456" ht="15.75" customHeight="1">
      <c r="D456" s="73"/>
    </row>
    <row r="457" ht="15.75" customHeight="1">
      <c r="D457" s="73"/>
    </row>
    <row r="458" ht="15.75" customHeight="1">
      <c r="D458" s="73"/>
    </row>
    <row r="459" ht="15.75" customHeight="1">
      <c r="D459" s="73"/>
    </row>
    <row r="460" ht="15.75" customHeight="1">
      <c r="D460" s="73"/>
    </row>
    <row r="461" ht="15.75" customHeight="1">
      <c r="D461" s="73"/>
    </row>
    <row r="462" ht="15.75" customHeight="1">
      <c r="D462" s="73"/>
    </row>
    <row r="463" ht="15.75" customHeight="1">
      <c r="D463" s="73"/>
    </row>
    <row r="464" ht="15.75" customHeight="1">
      <c r="D464" s="73"/>
    </row>
    <row r="465" ht="15.75" customHeight="1">
      <c r="D465" s="73"/>
    </row>
    <row r="466" ht="15.75" customHeight="1">
      <c r="D466" s="73"/>
    </row>
    <row r="467" ht="15.75" customHeight="1">
      <c r="D467" s="73"/>
    </row>
    <row r="468" ht="15.75" customHeight="1">
      <c r="D468" s="73"/>
    </row>
    <row r="469" ht="15.75" customHeight="1">
      <c r="D469" s="73"/>
    </row>
    <row r="470" ht="15.75" customHeight="1">
      <c r="D470" s="73"/>
    </row>
    <row r="471" ht="15.75" customHeight="1">
      <c r="D471" s="73"/>
    </row>
    <row r="472" ht="15.75" customHeight="1">
      <c r="D472" s="73"/>
    </row>
    <row r="473" ht="15.75" customHeight="1">
      <c r="D473" s="73"/>
    </row>
    <row r="474" ht="15.75" customHeight="1">
      <c r="D474" s="73"/>
    </row>
    <row r="475" ht="15.75" customHeight="1">
      <c r="D475" s="73"/>
    </row>
    <row r="476" ht="15.75" customHeight="1">
      <c r="D476" s="73"/>
    </row>
    <row r="477" ht="15.75" customHeight="1">
      <c r="D477" s="73"/>
    </row>
    <row r="478" ht="15.75" customHeight="1">
      <c r="D478" s="73"/>
    </row>
    <row r="479" ht="15.75" customHeight="1">
      <c r="D479" s="73"/>
    </row>
    <row r="480" ht="15.75" customHeight="1">
      <c r="D480" s="73"/>
    </row>
    <row r="481" ht="15.75" customHeight="1">
      <c r="D481" s="73"/>
    </row>
    <row r="482" ht="15.75" customHeight="1">
      <c r="D482" s="73"/>
    </row>
    <row r="483" ht="15.75" customHeight="1">
      <c r="D483" s="73"/>
    </row>
    <row r="484" ht="15.75" customHeight="1">
      <c r="D484" s="73"/>
    </row>
    <row r="485" ht="15.75" customHeight="1">
      <c r="D485" s="73"/>
    </row>
    <row r="486" ht="15.75" customHeight="1">
      <c r="D486" s="73"/>
    </row>
    <row r="487" ht="15.75" customHeight="1">
      <c r="D487" s="73"/>
    </row>
    <row r="488" ht="15.75" customHeight="1">
      <c r="D488" s="73"/>
    </row>
    <row r="489" ht="15.75" customHeight="1">
      <c r="D489" s="73"/>
    </row>
    <row r="490" ht="15.75" customHeight="1">
      <c r="D490" s="73"/>
    </row>
    <row r="491" ht="15.75" customHeight="1">
      <c r="D491" s="73"/>
    </row>
    <row r="492" ht="15.75" customHeight="1">
      <c r="D492" s="73"/>
    </row>
    <row r="493" ht="15.75" customHeight="1">
      <c r="D493" s="73"/>
    </row>
    <row r="494" ht="15.75" customHeight="1">
      <c r="D494" s="73"/>
    </row>
    <row r="495" ht="15.75" customHeight="1">
      <c r="D495" s="73"/>
    </row>
    <row r="496" ht="15.75" customHeight="1">
      <c r="D496" s="73"/>
    </row>
    <row r="497" ht="15.75" customHeight="1">
      <c r="D497" s="73"/>
    </row>
    <row r="498" ht="15.75" customHeight="1">
      <c r="D498" s="73"/>
    </row>
    <row r="499" ht="15.75" customHeight="1">
      <c r="D499" s="73"/>
    </row>
    <row r="500" ht="15.75" customHeight="1">
      <c r="D500" s="73"/>
    </row>
    <row r="501" ht="15.75" customHeight="1">
      <c r="D501" s="73"/>
    </row>
    <row r="502" ht="15.75" customHeight="1">
      <c r="D502" s="73"/>
    </row>
    <row r="503" ht="15.75" customHeight="1">
      <c r="D503" s="73"/>
    </row>
    <row r="504" ht="15.75" customHeight="1">
      <c r="D504" s="73"/>
    </row>
    <row r="505" ht="15.75" customHeight="1">
      <c r="D505" s="73"/>
    </row>
    <row r="506" ht="15.75" customHeight="1">
      <c r="D506" s="73"/>
    </row>
    <row r="507" ht="15.75" customHeight="1">
      <c r="D507" s="73"/>
    </row>
    <row r="508" ht="15.75" customHeight="1">
      <c r="D508" s="73"/>
    </row>
    <row r="509" ht="15.75" customHeight="1">
      <c r="D509" s="73"/>
    </row>
    <row r="510" ht="15.75" customHeight="1">
      <c r="D510" s="73"/>
    </row>
    <row r="511" ht="15.75" customHeight="1">
      <c r="D511" s="73"/>
    </row>
    <row r="512" ht="15.75" customHeight="1">
      <c r="D512" s="73"/>
    </row>
    <row r="513" ht="15.75" customHeight="1">
      <c r="D513" s="73"/>
    </row>
    <row r="514" ht="15.75" customHeight="1">
      <c r="D514" s="73"/>
    </row>
    <row r="515" ht="15.75" customHeight="1">
      <c r="D515" s="73"/>
    </row>
    <row r="516" ht="15.75" customHeight="1">
      <c r="D516" s="73"/>
    </row>
    <row r="517" ht="15.75" customHeight="1">
      <c r="D517" s="73"/>
    </row>
    <row r="518" ht="15.75" customHeight="1">
      <c r="D518" s="73"/>
    </row>
    <row r="519" ht="15.75" customHeight="1">
      <c r="D519" s="73"/>
    </row>
    <row r="520" ht="15.75" customHeight="1">
      <c r="D520" s="73"/>
    </row>
    <row r="521" ht="15.75" customHeight="1">
      <c r="D521" s="73"/>
    </row>
    <row r="522" ht="15.75" customHeight="1">
      <c r="D522" s="73"/>
    </row>
    <row r="523" ht="15.75" customHeight="1">
      <c r="D523" s="73"/>
    </row>
    <row r="524" ht="15.75" customHeight="1">
      <c r="D524" s="73"/>
    </row>
    <row r="525" ht="15.75" customHeight="1">
      <c r="D525" s="73"/>
    </row>
    <row r="526" ht="15.75" customHeight="1">
      <c r="D526" s="73"/>
    </row>
    <row r="527" ht="15.75" customHeight="1">
      <c r="D527" s="73"/>
    </row>
    <row r="528" ht="15.75" customHeight="1">
      <c r="D528" s="73"/>
    </row>
    <row r="529" ht="15.75" customHeight="1">
      <c r="D529" s="73"/>
    </row>
    <row r="530" ht="15.75" customHeight="1">
      <c r="D530" s="73"/>
    </row>
    <row r="531" ht="15.75" customHeight="1">
      <c r="D531" s="73"/>
    </row>
    <row r="532" ht="15.75" customHeight="1">
      <c r="D532" s="73"/>
    </row>
    <row r="533" ht="15.75" customHeight="1">
      <c r="D533" s="73"/>
    </row>
    <row r="534" ht="15.75" customHeight="1">
      <c r="D534" s="73"/>
    </row>
    <row r="535" ht="15.75" customHeight="1">
      <c r="D535" s="73"/>
    </row>
    <row r="536" ht="15.75" customHeight="1">
      <c r="D536" s="73"/>
    </row>
    <row r="537" ht="15.75" customHeight="1">
      <c r="D537" s="73"/>
    </row>
    <row r="538" ht="15.75" customHeight="1">
      <c r="D538" s="73"/>
    </row>
    <row r="539" ht="15.75" customHeight="1">
      <c r="D539" s="73"/>
    </row>
    <row r="540" ht="15.75" customHeight="1">
      <c r="D540" s="73"/>
    </row>
    <row r="541" ht="15.75" customHeight="1">
      <c r="D541" s="73"/>
    </row>
    <row r="542" ht="15.75" customHeight="1">
      <c r="D542" s="73"/>
    </row>
    <row r="543" ht="15.75" customHeight="1">
      <c r="D543" s="73"/>
    </row>
    <row r="544" ht="15.75" customHeight="1">
      <c r="D544" s="73"/>
    </row>
    <row r="545" ht="15.75" customHeight="1">
      <c r="D545" s="73"/>
    </row>
    <row r="546" ht="15.75" customHeight="1">
      <c r="D546" s="73"/>
    </row>
    <row r="547" ht="15.75" customHeight="1">
      <c r="D547" s="73"/>
    </row>
    <row r="548" ht="15.75" customHeight="1">
      <c r="D548" s="73"/>
    </row>
    <row r="549" ht="15.75" customHeight="1">
      <c r="D549" s="73"/>
    </row>
    <row r="550" ht="15.75" customHeight="1">
      <c r="D550" s="73"/>
    </row>
    <row r="551" ht="15.75" customHeight="1">
      <c r="D551" s="73"/>
    </row>
    <row r="552" ht="15.75" customHeight="1">
      <c r="D552" s="73"/>
    </row>
    <row r="553" ht="15.75" customHeight="1">
      <c r="D553" s="73"/>
    </row>
    <row r="554" ht="15.75" customHeight="1">
      <c r="D554" s="73"/>
    </row>
    <row r="555" ht="15.75" customHeight="1">
      <c r="D555" s="73"/>
    </row>
    <row r="556" ht="15.75" customHeight="1">
      <c r="D556" s="73"/>
    </row>
    <row r="557" ht="15.75" customHeight="1">
      <c r="D557" s="73"/>
    </row>
    <row r="558" ht="15.75" customHeight="1">
      <c r="D558" s="73"/>
    </row>
    <row r="559" ht="15.75" customHeight="1">
      <c r="D559" s="73"/>
    </row>
    <row r="560" ht="15.75" customHeight="1">
      <c r="D560" s="73"/>
    </row>
    <row r="561" ht="15.75" customHeight="1">
      <c r="D561" s="73"/>
    </row>
    <row r="562" ht="15.75" customHeight="1">
      <c r="D562" s="73"/>
    </row>
    <row r="563" ht="15.75" customHeight="1">
      <c r="D563" s="73"/>
    </row>
    <row r="564" ht="15.75" customHeight="1">
      <c r="D564" s="73"/>
    </row>
    <row r="565" ht="15.75" customHeight="1">
      <c r="D565" s="73"/>
    </row>
    <row r="566" ht="15.75" customHeight="1">
      <c r="D566" s="73"/>
    </row>
    <row r="567" ht="15.75" customHeight="1">
      <c r="D567" s="73"/>
    </row>
    <row r="568" ht="15.75" customHeight="1">
      <c r="D568" s="73"/>
    </row>
    <row r="569" ht="15.75" customHeight="1">
      <c r="D569" s="73"/>
    </row>
    <row r="570" ht="15.75" customHeight="1">
      <c r="D570" s="73"/>
    </row>
    <row r="571" ht="15.75" customHeight="1">
      <c r="D571" s="73"/>
    </row>
    <row r="572" ht="15.75" customHeight="1">
      <c r="D572" s="73"/>
    </row>
    <row r="573" ht="15.75" customHeight="1">
      <c r="D573" s="73"/>
    </row>
    <row r="574" ht="15.75" customHeight="1">
      <c r="D574" s="73"/>
    </row>
    <row r="575" ht="15.75" customHeight="1">
      <c r="D575" s="73"/>
    </row>
    <row r="576" ht="15.75" customHeight="1">
      <c r="D576" s="73"/>
    </row>
    <row r="577" ht="15.75" customHeight="1">
      <c r="D577" s="73"/>
    </row>
    <row r="578" ht="15.75" customHeight="1">
      <c r="D578" s="73"/>
    </row>
    <row r="579" ht="15.75" customHeight="1">
      <c r="D579" s="73"/>
    </row>
    <row r="580" ht="15.75" customHeight="1">
      <c r="D580" s="73"/>
    </row>
    <row r="581" ht="15.75" customHeight="1">
      <c r="D581" s="73"/>
    </row>
    <row r="582" ht="15.75" customHeight="1">
      <c r="D582" s="73"/>
    </row>
    <row r="583" ht="15.75" customHeight="1">
      <c r="D583" s="73"/>
    </row>
    <row r="584" ht="15.75" customHeight="1">
      <c r="D584" s="73"/>
    </row>
    <row r="585" ht="15.75" customHeight="1">
      <c r="D585" s="73"/>
    </row>
    <row r="586" ht="15.75" customHeight="1">
      <c r="D586" s="73"/>
    </row>
    <row r="587" ht="15.75" customHeight="1">
      <c r="D587" s="73"/>
    </row>
    <row r="588" ht="15.75" customHeight="1">
      <c r="D588" s="73"/>
    </row>
    <row r="589" ht="15.75" customHeight="1">
      <c r="D589" s="73"/>
    </row>
    <row r="590" ht="15.75" customHeight="1">
      <c r="D590" s="73"/>
    </row>
    <row r="591" ht="15.75" customHeight="1">
      <c r="D591" s="73"/>
    </row>
    <row r="592" ht="15.75" customHeight="1">
      <c r="D592" s="73"/>
    </row>
    <row r="593" ht="15.75" customHeight="1">
      <c r="D593" s="73"/>
    </row>
    <row r="594" ht="15.75" customHeight="1">
      <c r="D594" s="73"/>
    </row>
    <row r="595" ht="15.75" customHeight="1">
      <c r="D595" s="73"/>
    </row>
    <row r="596" ht="15.75" customHeight="1">
      <c r="D596" s="73"/>
    </row>
    <row r="597" ht="15.75" customHeight="1">
      <c r="D597" s="73"/>
    </row>
    <row r="598" ht="15.75" customHeight="1">
      <c r="D598" s="73"/>
    </row>
    <row r="599" ht="15.75" customHeight="1">
      <c r="D599" s="73"/>
    </row>
    <row r="600" ht="15.75" customHeight="1">
      <c r="D600" s="73"/>
    </row>
    <row r="601" ht="15.75" customHeight="1">
      <c r="D601" s="73"/>
    </row>
    <row r="602" ht="15.75" customHeight="1">
      <c r="D602" s="73"/>
    </row>
    <row r="603" ht="15.75" customHeight="1">
      <c r="D603" s="73"/>
    </row>
    <row r="604" ht="15.75" customHeight="1">
      <c r="D604" s="73"/>
    </row>
    <row r="605" ht="15.75" customHeight="1">
      <c r="D605" s="73"/>
    </row>
    <row r="606" ht="15.75" customHeight="1">
      <c r="D606" s="73"/>
    </row>
    <row r="607" ht="15.75" customHeight="1">
      <c r="D607" s="73"/>
    </row>
    <row r="608" ht="15.75" customHeight="1">
      <c r="D608" s="73"/>
    </row>
    <row r="609" ht="15.75" customHeight="1">
      <c r="D609" s="73"/>
    </row>
    <row r="610" ht="15.75" customHeight="1">
      <c r="D610" s="73"/>
    </row>
    <row r="611" ht="15.75" customHeight="1">
      <c r="D611" s="73"/>
    </row>
    <row r="612" ht="15.75" customHeight="1">
      <c r="D612" s="73"/>
    </row>
    <row r="613" ht="15.75" customHeight="1">
      <c r="D613" s="73"/>
    </row>
    <row r="614" ht="15.75" customHeight="1">
      <c r="D614" s="73"/>
    </row>
    <row r="615" ht="15.75" customHeight="1">
      <c r="D615" s="73"/>
    </row>
    <row r="616" ht="15.75" customHeight="1">
      <c r="D616" s="73"/>
    </row>
    <row r="617" ht="15.75" customHeight="1">
      <c r="D617" s="73"/>
    </row>
    <row r="618" ht="15.75" customHeight="1">
      <c r="D618" s="73"/>
    </row>
    <row r="619" ht="15.75" customHeight="1">
      <c r="D619" s="73"/>
    </row>
    <row r="620" ht="15.75" customHeight="1">
      <c r="D620" s="73"/>
    </row>
    <row r="621" ht="15.75" customHeight="1">
      <c r="D621" s="73"/>
    </row>
    <row r="622" ht="15.75" customHeight="1">
      <c r="D622" s="73"/>
    </row>
    <row r="623" ht="15.75" customHeight="1">
      <c r="D623" s="73"/>
    </row>
    <row r="624" ht="15.75" customHeight="1">
      <c r="D624" s="73"/>
    </row>
    <row r="625" ht="15.75" customHeight="1">
      <c r="D625" s="73"/>
    </row>
    <row r="626" ht="15.75" customHeight="1">
      <c r="D626" s="73"/>
    </row>
    <row r="627" ht="15.75" customHeight="1">
      <c r="D627" s="73"/>
    </row>
    <row r="628" ht="15.75" customHeight="1">
      <c r="D628" s="73"/>
    </row>
    <row r="629" ht="15.75" customHeight="1">
      <c r="D629" s="73"/>
    </row>
    <row r="630" ht="15.75" customHeight="1">
      <c r="D630" s="73"/>
    </row>
    <row r="631" ht="15.75" customHeight="1">
      <c r="D631" s="73"/>
    </row>
    <row r="632" ht="15.75" customHeight="1">
      <c r="D632" s="73"/>
    </row>
    <row r="633" ht="15.75" customHeight="1">
      <c r="D633" s="73"/>
    </row>
    <row r="634" ht="15.75" customHeight="1">
      <c r="D634" s="73"/>
    </row>
    <row r="635" ht="15.75" customHeight="1">
      <c r="D635" s="73"/>
    </row>
    <row r="636" ht="15.75" customHeight="1">
      <c r="D636" s="73"/>
    </row>
    <row r="637" ht="15.75" customHeight="1">
      <c r="D637" s="73"/>
    </row>
    <row r="638" ht="15.75" customHeight="1">
      <c r="D638" s="73"/>
    </row>
    <row r="639" ht="15.75" customHeight="1">
      <c r="D639" s="73"/>
    </row>
    <row r="640" ht="15.75" customHeight="1">
      <c r="D640" s="73"/>
    </row>
    <row r="641" ht="15.75" customHeight="1">
      <c r="D641" s="73"/>
    </row>
    <row r="642" ht="15.75" customHeight="1">
      <c r="D642" s="73"/>
    </row>
    <row r="643" ht="15.75" customHeight="1">
      <c r="D643" s="73"/>
    </row>
    <row r="644" ht="15.75" customHeight="1">
      <c r="D644" s="73"/>
    </row>
    <row r="645" ht="15.75" customHeight="1">
      <c r="D645" s="73"/>
    </row>
    <row r="646" ht="15.75" customHeight="1">
      <c r="D646" s="73"/>
    </row>
    <row r="647" ht="15.75" customHeight="1">
      <c r="D647" s="73"/>
    </row>
    <row r="648" ht="15.75" customHeight="1">
      <c r="D648" s="73"/>
    </row>
    <row r="649" ht="15.75" customHeight="1">
      <c r="D649" s="73"/>
    </row>
    <row r="650" ht="15.75" customHeight="1">
      <c r="D650" s="73"/>
    </row>
    <row r="651" ht="15.75" customHeight="1">
      <c r="D651" s="73"/>
    </row>
    <row r="652" ht="15.75" customHeight="1">
      <c r="D652" s="73"/>
    </row>
    <row r="653" ht="15.75" customHeight="1">
      <c r="D653" s="73"/>
    </row>
    <row r="654" ht="15.75" customHeight="1">
      <c r="D654" s="73"/>
    </row>
    <row r="655" ht="15.75" customHeight="1">
      <c r="D655" s="73"/>
    </row>
    <row r="656" ht="15.75" customHeight="1">
      <c r="D656" s="73"/>
    </row>
    <row r="657" ht="15.75" customHeight="1">
      <c r="D657" s="73"/>
    </row>
    <row r="658" ht="15.75" customHeight="1">
      <c r="D658" s="73"/>
    </row>
    <row r="659" ht="15.75" customHeight="1">
      <c r="D659" s="73"/>
    </row>
    <row r="660" ht="15.75" customHeight="1">
      <c r="D660" s="73"/>
    </row>
    <row r="661" ht="15.75" customHeight="1">
      <c r="D661" s="73"/>
    </row>
    <row r="662" ht="15.75" customHeight="1">
      <c r="D662" s="73"/>
    </row>
    <row r="663" ht="15.75" customHeight="1">
      <c r="D663" s="73"/>
    </row>
    <row r="664" ht="15.75" customHeight="1">
      <c r="D664" s="73"/>
    </row>
    <row r="665" ht="15.75" customHeight="1">
      <c r="D665" s="73"/>
    </row>
    <row r="666" ht="15.75" customHeight="1">
      <c r="D666" s="73"/>
    </row>
    <row r="667" ht="15.75" customHeight="1">
      <c r="D667" s="73"/>
    </row>
    <row r="668" ht="15.75" customHeight="1">
      <c r="D668" s="73"/>
    </row>
    <row r="669" ht="15.75" customHeight="1">
      <c r="D669" s="73"/>
    </row>
    <row r="670" ht="15.75" customHeight="1">
      <c r="D670" s="73"/>
    </row>
    <row r="671" ht="15.75" customHeight="1">
      <c r="D671" s="73"/>
    </row>
    <row r="672" ht="15.75" customHeight="1">
      <c r="D672" s="73"/>
    </row>
    <row r="673" ht="15.75" customHeight="1">
      <c r="D673" s="73"/>
    </row>
    <row r="674" ht="15.75" customHeight="1">
      <c r="D674" s="73"/>
    </row>
    <row r="675" ht="15.75" customHeight="1">
      <c r="D675" s="73"/>
    </row>
    <row r="676" ht="15.75" customHeight="1">
      <c r="D676" s="73"/>
    </row>
    <row r="677" ht="15.75" customHeight="1">
      <c r="D677" s="73"/>
    </row>
    <row r="678" ht="15.75" customHeight="1">
      <c r="D678" s="73"/>
    </row>
    <row r="679" ht="15.75" customHeight="1">
      <c r="D679" s="73"/>
    </row>
    <row r="680" ht="15.75" customHeight="1">
      <c r="D680" s="73"/>
    </row>
    <row r="681" ht="15.75" customHeight="1">
      <c r="D681" s="73"/>
    </row>
    <row r="682" ht="15.75" customHeight="1">
      <c r="D682" s="73"/>
    </row>
    <row r="683" ht="15.75" customHeight="1">
      <c r="D683" s="73"/>
    </row>
    <row r="684" ht="15.75" customHeight="1">
      <c r="D684" s="73"/>
    </row>
    <row r="685" ht="15.75" customHeight="1">
      <c r="D685" s="73"/>
    </row>
    <row r="686" ht="15.75" customHeight="1">
      <c r="D686" s="73"/>
    </row>
    <row r="687" ht="15.75" customHeight="1">
      <c r="D687" s="73"/>
    </row>
    <row r="688" ht="15.75" customHeight="1">
      <c r="D688" s="73"/>
    </row>
    <row r="689" ht="15.75" customHeight="1">
      <c r="D689" s="73"/>
    </row>
    <row r="690" ht="15.75" customHeight="1">
      <c r="D690" s="73"/>
    </row>
    <row r="691" ht="15.75" customHeight="1">
      <c r="D691" s="73"/>
    </row>
    <row r="692" ht="15.75" customHeight="1">
      <c r="D692" s="73"/>
    </row>
    <row r="693" ht="15.75" customHeight="1">
      <c r="D693" s="73"/>
    </row>
    <row r="694" ht="15.75" customHeight="1">
      <c r="D694" s="73"/>
    </row>
    <row r="695" ht="15.75" customHeight="1">
      <c r="D695" s="73"/>
    </row>
    <row r="696" ht="15.75" customHeight="1">
      <c r="D696" s="73"/>
    </row>
    <row r="697" ht="15.75" customHeight="1">
      <c r="D697" s="73"/>
    </row>
    <row r="698" ht="15.75" customHeight="1">
      <c r="D698" s="73"/>
    </row>
    <row r="699" ht="15.75" customHeight="1">
      <c r="D699" s="73"/>
    </row>
    <row r="700" ht="15.75" customHeight="1">
      <c r="D700" s="73"/>
    </row>
    <row r="701" ht="15.75" customHeight="1">
      <c r="D701" s="73"/>
    </row>
    <row r="702" ht="15.75" customHeight="1">
      <c r="D702" s="73"/>
    </row>
    <row r="703" ht="15.75" customHeight="1">
      <c r="D703" s="73"/>
    </row>
    <row r="704" ht="15.75" customHeight="1">
      <c r="D704" s="73"/>
    </row>
    <row r="705" ht="15.75" customHeight="1">
      <c r="D705" s="73"/>
    </row>
    <row r="706" ht="15.75" customHeight="1">
      <c r="D706" s="73"/>
    </row>
    <row r="707" ht="15.75" customHeight="1">
      <c r="D707" s="73"/>
    </row>
    <row r="708" ht="15.75" customHeight="1">
      <c r="D708" s="73"/>
    </row>
    <row r="709" ht="15.75" customHeight="1">
      <c r="D709" s="73"/>
    </row>
    <row r="710" ht="15.75" customHeight="1">
      <c r="D710" s="73"/>
    </row>
    <row r="711" ht="15.75" customHeight="1">
      <c r="D711" s="73"/>
    </row>
    <row r="712" ht="15.75" customHeight="1">
      <c r="D712" s="73"/>
    </row>
    <row r="713" ht="15.75" customHeight="1">
      <c r="D713" s="73"/>
    </row>
    <row r="714" ht="15.75" customHeight="1">
      <c r="D714" s="73"/>
    </row>
    <row r="715" ht="15.75" customHeight="1">
      <c r="D715" s="73"/>
    </row>
    <row r="716" ht="15.75" customHeight="1">
      <c r="D716" s="73"/>
    </row>
    <row r="717" ht="15.75" customHeight="1">
      <c r="D717" s="73"/>
    </row>
    <row r="718" ht="15.75" customHeight="1">
      <c r="D718" s="73"/>
    </row>
    <row r="719" ht="15.75" customHeight="1">
      <c r="D719" s="73"/>
    </row>
    <row r="720" ht="15.75" customHeight="1">
      <c r="D720" s="73"/>
    </row>
    <row r="721" ht="15.75" customHeight="1">
      <c r="D721" s="73"/>
    </row>
    <row r="722" ht="15.75" customHeight="1">
      <c r="D722" s="73"/>
    </row>
    <row r="723" ht="15.75" customHeight="1">
      <c r="D723" s="73"/>
    </row>
    <row r="724" ht="15.75" customHeight="1">
      <c r="D724" s="73"/>
    </row>
    <row r="725" ht="15.75" customHeight="1">
      <c r="D725" s="73"/>
    </row>
    <row r="726" ht="15.75" customHeight="1">
      <c r="D726" s="73"/>
    </row>
    <row r="727" ht="15.75" customHeight="1">
      <c r="D727" s="73"/>
    </row>
    <row r="728" ht="15.75" customHeight="1">
      <c r="D728" s="73"/>
    </row>
    <row r="729" ht="15.75" customHeight="1">
      <c r="D729" s="73"/>
    </row>
    <row r="730" ht="15.75" customHeight="1">
      <c r="D730" s="73"/>
    </row>
    <row r="731" ht="15.75" customHeight="1">
      <c r="D731" s="73"/>
    </row>
    <row r="732" ht="15.75" customHeight="1">
      <c r="D732" s="73"/>
    </row>
    <row r="733" ht="15.75" customHeight="1">
      <c r="D733" s="73"/>
    </row>
    <row r="734" ht="15.75" customHeight="1">
      <c r="D734" s="73"/>
    </row>
    <row r="735" ht="15.75" customHeight="1">
      <c r="D735" s="73"/>
    </row>
    <row r="736" ht="15.75" customHeight="1">
      <c r="D736" s="73"/>
    </row>
    <row r="737" ht="15.75" customHeight="1">
      <c r="D737" s="73"/>
    </row>
    <row r="738" ht="15.75" customHeight="1">
      <c r="D738" s="73"/>
    </row>
    <row r="739" ht="15.75" customHeight="1">
      <c r="D739" s="73"/>
    </row>
    <row r="740" ht="15.75" customHeight="1">
      <c r="D740" s="73"/>
    </row>
    <row r="741" ht="15.75" customHeight="1">
      <c r="D741" s="73"/>
    </row>
    <row r="742" ht="15.75" customHeight="1">
      <c r="D742" s="73"/>
    </row>
    <row r="743" ht="15.75" customHeight="1">
      <c r="D743" s="73"/>
    </row>
    <row r="744" ht="15.75" customHeight="1">
      <c r="D744" s="73"/>
    </row>
    <row r="745" ht="15.75" customHeight="1">
      <c r="D745" s="73"/>
    </row>
    <row r="746" ht="15.75" customHeight="1">
      <c r="D746" s="73"/>
    </row>
    <row r="747" ht="15.75" customHeight="1">
      <c r="D747" s="73"/>
    </row>
    <row r="748" ht="15.75" customHeight="1">
      <c r="D748" s="73"/>
    </row>
    <row r="749" ht="15.75" customHeight="1">
      <c r="D749" s="73"/>
    </row>
    <row r="750" ht="15.75" customHeight="1">
      <c r="D750" s="73"/>
    </row>
    <row r="751" ht="15.75" customHeight="1">
      <c r="D751" s="73"/>
    </row>
    <row r="752" ht="15.75" customHeight="1">
      <c r="D752" s="73"/>
    </row>
    <row r="753" ht="15.75" customHeight="1">
      <c r="D753" s="73"/>
    </row>
    <row r="754" ht="15.75" customHeight="1">
      <c r="D754" s="73"/>
    </row>
    <row r="755" ht="15.75" customHeight="1">
      <c r="D755" s="73"/>
    </row>
    <row r="756" ht="15.75" customHeight="1">
      <c r="D756" s="73"/>
    </row>
    <row r="757" ht="15.75" customHeight="1">
      <c r="D757" s="73"/>
    </row>
    <row r="758" ht="15.75" customHeight="1">
      <c r="D758" s="73"/>
    </row>
    <row r="759" ht="15.75" customHeight="1">
      <c r="D759" s="73"/>
    </row>
    <row r="760" ht="15.75" customHeight="1">
      <c r="D760" s="73"/>
    </row>
    <row r="761" ht="15.75" customHeight="1">
      <c r="D761" s="73"/>
    </row>
    <row r="762" ht="15.75" customHeight="1">
      <c r="D762" s="73"/>
    </row>
    <row r="763" ht="15.75" customHeight="1">
      <c r="D763" s="73"/>
    </row>
    <row r="764" ht="15.75" customHeight="1">
      <c r="D764" s="73"/>
    </row>
    <row r="765" ht="15.75" customHeight="1">
      <c r="D765" s="73"/>
    </row>
    <row r="766" ht="15.75" customHeight="1">
      <c r="D766" s="73"/>
    </row>
    <row r="767" ht="15.75" customHeight="1">
      <c r="D767" s="73"/>
    </row>
    <row r="768" ht="15.75" customHeight="1">
      <c r="D768" s="73"/>
    </row>
    <row r="769" ht="15.75" customHeight="1">
      <c r="D769" s="73"/>
    </row>
    <row r="770" ht="15.75" customHeight="1">
      <c r="D770" s="73"/>
    </row>
    <row r="771" ht="15.75" customHeight="1">
      <c r="D771" s="73"/>
    </row>
    <row r="772" ht="15.75" customHeight="1">
      <c r="D772" s="73"/>
    </row>
    <row r="773" ht="15.75" customHeight="1">
      <c r="D773" s="73"/>
    </row>
    <row r="774" ht="15.75" customHeight="1">
      <c r="D774" s="73"/>
    </row>
    <row r="775" ht="15.75" customHeight="1">
      <c r="D775" s="73"/>
    </row>
    <row r="776" ht="15.75" customHeight="1">
      <c r="D776" s="73"/>
    </row>
    <row r="777" ht="15.75" customHeight="1">
      <c r="D777" s="73"/>
    </row>
    <row r="778" ht="15.75" customHeight="1">
      <c r="D778" s="73"/>
    </row>
    <row r="779" ht="15.75" customHeight="1">
      <c r="D779" s="73"/>
    </row>
    <row r="780" ht="15.75" customHeight="1">
      <c r="D780" s="73"/>
    </row>
    <row r="781" ht="15.75" customHeight="1">
      <c r="D781" s="73"/>
    </row>
    <row r="782" ht="15.75" customHeight="1">
      <c r="D782" s="73"/>
    </row>
    <row r="783" ht="15.75" customHeight="1">
      <c r="D783" s="73"/>
    </row>
    <row r="784" ht="15.75" customHeight="1">
      <c r="D784" s="73"/>
    </row>
    <row r="785" ht="15.75" customHeight="1">
      <c r="D785" s="73"/>
    </row>
    <row r="786" ht="15.75" customHeight="1">
      <c r="D786" s="73"/>
    </row>
    <row r="787" ht="15.75" customHeight="1">
      <c r="D787" s="73"/>
    </row>
    <row r="788" ht="15.75" customHeight="1">
      <c r="D788" s="73"/>
    </row>
    <row r="789" ht="15.75" customHeight="1">
      <c r="D789" s="73"/>
    </row>
    <row r="790" ht="15.75" customHeight="1">
      <c r="D790" s="73"/>
    </row>
    <row r="791" ht="15.75" customHeight="1">
      <c r="D791" s="73"/>
    </row>
    <row r="792" ht="15.75" customHeight="1">
      <c r="D792" s="73"/>
    </row>
    <row r="793" ht="15.75" customHeight="1">
      <c r="D793" s="73"/>
    </row>
    <row r="794" ht="15.75" customHeight="1">
      <c r="D794" s="73"/>
    </row>
    <row r="795" ht="15.75" customHeight="1">
      <c r="D795" s="73"/>
    </row>
    <row r="796" ht="15.75" customHeight="1">
      <c r="D796" s="73"/>
    </row>
    <row r="797" ht="15.75" customHeight="1">
      <c r="D797" s="73"/>
    </row>
    <row r="798" ht="15.75" customHeight="1">
      <c r="D798" s="73"/>
    </row>
    <row r="799" ht="15.75" customHeight="1">
      <c r="D799" s="73"/>
    </row>
    <row r="800" ht="15.75" customHeight="1">
      <c r="D800" s="73"/>
    </row>
    <row r="801" ht="15.75" customHeight="1">
      <c r="D801" s="73"/>
    </row>
    <row r="802" ht="15.75" customHeight="1">
      <c r="D802" s="73"/>
    </row>
    <row r="803" ht="15.75" customHeight="1">
      <c r="D803" s="73"/>
    </row>
    <row r="804" ht="15.75" customHeight="1">
      <c r="D804" s="73"/>
    </row>
    <row r="805" ht="15.75" customHeight="1">
      <c r="D805" s="73"/>
    </row>
    <row r="806" ht="15.75" customHeight="1">
      <c r="D806" s="73"/>
    </row>
    <row r="807" ht="15.75" customHeight="1">
      <c r="D807" s="73"/>
    </row>
    <row r="808" ht="15.75" customHeight="1">
      <c r="D808" s="73"/>
    </row>
    <row r="809" ht="15.75" customHeight="1">
      <c r="D809" s="73"/>
    </row>
    <row r="810" ht="15.75" customHeight="1">
      <c r="D810" s="73"/>
    </row>
    <row r="811" ht="15.75" customHeight="1">
      <c r="D811" s="73"/>
    </row>
    <row r="812" ht="15.75" customHeight="1">
      <c r="D812" s="73"/>
    </row>
    <row r="813" ht="15.75" customHeight="1">
      <c r="D813" s="73"/>
    </row>
    <row r="814" ht="15.75" customHeight="1">
      <c r="D814" s="73"/>
    </row>
    <row r="815" ht="15.75" customHeight="1">
      <c r="D815" s="73"/>
    </row>
    <row r="816" ht="15.75" customHeight="1">
      <c r="D816" s="73"/>
    </row>
    <row r="817" ht="15.75" customHeight="1">
      <c r="D817" s="73"/>
    </row>
    <row r="818" ht="15.75" customHeight="1">
      <c r="D818" s="73"/>
    </row>
    <row r="819" ht="15.75" customHeight="1">
      <c r="D819" s="73"/>
    </row>
    <row r="820" ht="15.75" customHeight="1">
      <c r="D820" s="73"/>
    </row>
    <row r="821" ht="15.75" customHeight="1">
      <c r="D821" s="73"/>
    </row>
    <row r="822" ht="15.75" customHeight="1">
      <c r="D822" s="73"/>
    </row>
    <row r="823" ht="15.75" customHeight="1">
      <c r="D823" s="73"/>
    </row>
    <row r="824" ht="15.75" customHeight="1">
      <c r="D824" s="73"/>
    </row>
    <row r="825" ht="15.75" customHeight="1">
      <c r="D825" s="73"/>
    </row>
    <row r="826" ht="15.75" customHeight="1">
      <c r="D826" s="73"/>
    </row>
    <row r="827" ht="15.75" customHeight="1">
      <c r="D827" s="73"/>
    </row>
    <row r="828" ht="15.75" customHeight="1">
      <c r="D828" s="73"/>
    </row>
    <row r="829" ht="15.75" customHeight="1">
      <c r="D829" s="73"/>
    </row>
    <row r="830" ht="15.75" customHeight="1">
      <c r="D830" s="73"/>
    </row>
    <row r="831" ht="15.75" customHeight="1">
      <c r="D831" s="73"/>
    </row>
    <row r="832" ht="15.75" customHeight="1">
      <c r="D832" s="73"/>
    </row>
    <row r="833" ht="15.75" customHeight="1">
      <c r="D833" s="73"/>
    </row>
    <row r="834" ht="15.75" customHeight="1">
      <c r="D834" s="73"/>
    </row>
    <row r="835" ht="15.75" customHeight="1">
      <c r="D835" s="73"/>
    </row>
    <row r="836" ht="15.75" customHeight="1">
      <c r="D836" s="73"/>
    </row>
    <row r="837" ht="15.75" customHeight="1">
      <c r="D837" s="73"/>
    </row>
    <row r="838" ht="15.75" customHeight="1">
      <c r="D838" s="73"/>
    </row>
    <row r="839" ht="15.75" customHeight="1">
      <c r="D839" s="73"/>
    </row>
    <row r="840" ht="15.75" customHeight="1">
      <c r="D840" s="73"/>
    </row>
    <row r="841" ht="15.75" customHeight="1">
      <c r="D841" s="73"/>
    </row>
    <row r="842" ht="15.75" customHeight="1">
      <c r="D842" s="73"/>
    </row>
    <row r="843" ht="15.75" customHeight="1">
      <c r="D843" s="73"/>
    </row>
    <row r="844" ht="15.75" customHeight="1">
      <c r="D844" s="73"/>
    </row>
    <row r="845" ht="15.75" customHeight="1">
      <c r="D845" s="73"/>
    </row>
    <row r="846" ht="15.75" customHeight="1">
      <c r="D846" s="73"/>
    </row>
    <row r="847" ht="15.75" customHeight="1">
      <c r="D847" s="73"/>
    </row>
    <row r="848" ht="15.75" customHeight="1">
      <c r="D848" s="73"/>
    </row>
    <row r="849" ht="15.75" customHeight="1">
      <c r="D849" s="73"/>
    </row>
    <row r="850" ht="15.75" customHeight="1">
      <c r="D850" s="73"/>
    </row>
    <row r="851" ht="15.75" customHeight="1">
      <c r="D851" s="73"/>
    </row>
    <row r="852" ht="15.75" customHeight="1">
      <c r="D852" s="73"/>
    </row>
    <row r="853" ht="15.75" customHeight="1">
      <c r="D853" s="73"/>
    </row>
    <row r="854" ht="15.75" customHeight="1">
      <c r="D854" s="73"/>
    </row>
    <row r="855" ht="15.75" customHeight="1">
      <c r="D855" s="73"/>
    </row>
    <row r="856" ht="15.75" customHeight="1">
      <c r="D856" s="73"/>
    </row>
    <row r="857" ht="15.75" customHeight="1">
      <c r="D857" s="73"/>
    </row>
    <row r="858" ht="15.75" customHeight="1">
      <c r="D858" s="73"/>
    </row>
    <row r="859" ht="15.75" customHeight="1">
      <c r="D859" s="73"/>
    </row>
    <row r="860" ht="15.75" customHeight="1">
      <c r="D860" s="73"/>
    </row>
    <row r="861" ht="15.75" customHeight="1">
      <c r="D861" s="73"/>
    </row>
    <row r="862" ht="15.75" customHeight="1">
      <c r="D862" s="73"/>
    </row>
    <row r="863" ht="15.75" customHeight="1">
      <c r="D863" s="73"/>
    </row>
    <row r="864" ht="15.75" customHeight="1">
      <c r="D864" s="73"/>
    </row>
    <row r="865" ht="15.75" customHeight="1">
      <c r="D865" s="73"/>
    </row>
    <row r="866" ht="15.75" customHeight="1">
      <c r="D866" s="73"/>
    </row>
    <row r="867" ht="15.75" customHeight="1">
      <c r="D867" s="73"/>
    </row>
    <row r="868" ht="15.75" customHeight="1">
      <c r="D868" s="73"/>
    </row>
    <row r="869" ht="15.75" customHeight="1">
      <c r="D869" s="73"/>
    </row>
    <row r="870" ht="15.75" customHeight="1">
      <c r="D870" s="73"/>
    </row>
    <row r="871" ht="15.75" customHeight="1">
      <c r="D871" s="73"/>
    </row>
    <row r="872" ht="15.75" customHeight="1">
      <c r="D872" s="73"/>
    </row>
    <row r="873" ht="15.75" customHeight="1">
      <c r="D873" s="73"/>
    </row>
    <row r="874" ht="15.75" customHeight="1">
      <c r="D874" s="73"/>
    </row>
    <row r="875" ht="15.75" customHeight="1">
      <c r="D875" s="73"/>
    </row>
    <row r="876" ht="15.75" customHeight="1">
      <c r="D876" s="73"/>
    </row>
    <row r="877" ht="15.75" customHeight="1">
      <c r="D877" s="73"/>
    </row>
    <row r="878" ht="15.75" customHeight="1">
      <c r="D878" s="73"/>
    </row>
    <row r="879" ht="15.75" customHeight="1">
      <c r="D879" s="73"/>
    </row>
    <row r="880" ht="15.75" customHeight="1">
      <c r="D880" s="73"/>
    </row>
    <row r="881" ht="15.75" customHeight="1">
      <c r="D881" s="73"/>
    </row>
    <row r="882" ht="15.75" customHeight="1">
      <c r="D882" s="73"/>
    </row>
    <row r="883" ht="15.75" customHeight="1">
      <c r="D883" s="73"/>
    </row>
    <row r="884" ht="15.75" customHeight="1">
      <c r="D884" s="73"/>
    </row>
    <row r="885" ht="15.75" customHeight="1">
      <c r="D885" s="73"/>
    </row>
    <row r="886" ht="15.75" customHeight="1">
      <c r="D886" s="73"/>
    </row>
    <row r="887" ht="15.75" customHeight="1">
      <c r="D887" s="73"/>
    </row>
    <row r="888" ht="15.75" customHeight="1">
      <c r="D888" s="73"/>
    </row>
    <row r="889" ht="15.75" customHeight="1">
      <c r="D889" s="73"/>
    </row>
    <row r="890" ht="15.75" customHeight="1">
      <c r="D890" s="73"/>
    </row>
    <row r="891" ht="15.75" customHeight="1">
      <c r="D891" s="73"/>
    </row>
    <row r="892" ht="15.75" customHeight="1">
      <c r="D892" s="73"/>
    </row>
    <row r="893" ht="15.75" customHeight="1">
      <c r="D893" s="73"/>
    </row>
    <row r="894" ht="15.75" customHeight="1">
      <c r="D894" s="73"/>
    </row>
    <row r="895" ht="15.75" customHeight="1">
      <c r="D895" s="73"/>
    </row>
    <row r="896" ht="15.75" customHeight="1">
      <c r="D896" s="73"/>
    </row>
    <row r="897" ht="15.75" customHeight="1">
      <c r="D897" s="73"/>
    </row>
    <row r="898" ht="15.75" customHeight="1">
      <c r="D898" s="73"/>
    </row>
    <row r="899" ht="15.75" customHeight="1">
      <c r="D899" s="73"/>
    </row>
    <row r="900" ht="15.75" customHeight="1">
      <c r="D900" s="73"/>
    </row>
    <row r="901" ht="15.75" customHeight="1">
      <c r="D901" s="73"/>
    </row>
    <row r="902" ht="15.75" customHeight="1">
      <c r="D902" s="73"/>
    </row>
    <row r="903" ht="15.75" customHeight="1">
      <c r="D903" s="73"/>
    </row>
    <row r="904" ht="15.75" customHeight="1">
      <c r="D904" s="73"/>
    </row>
    <row r="905" ht="15.75" customHeight="1">
      <c r="D905" s="73"/>
    </row>
    <row r="906" ht="15.75" customHeight="1">
      <c r="D906" s="73"/>
    </row>
    <row r="907" ht="15.75" customHeight="1">
      <c r="D907" s="73"/>
    </row>
    <row r="908" ht="15.75" customHeight="1">
      <c r="D908" s="73"/>
    </row>
    <row r="909" ht="15.75" customHeight="1">
      <c r="D909" s="73"/>
    </row>
    <row r="910" ht="15.75" customHeight="1">
      <c r="D910" s="73"/>
    </row>
    <row r="911" ht="15.75" customHeight="1">
      <c r="D911" s="73"/>
    </row>
    <row r="912" ht="15.75" customHeight="1">
      <c r="D912" s="73"/>
    </row>
    <row r="913" ht="15.75" customHeight="1">
      <c r="D913" s="73"/>
    </row>
    <row r="914" ht="15.75" customHeight="1">
      <c r="D914" s="73"/>
    </row>
    <row r="915" ht="15.75" customHeight="1">
      <c r="D915" s="73"/>
    </row>
    <row r="916" ht="15.75" customHeight="1">
      <c r="D916" s="73"/>
    </row>
    <row r="917" ht="15.75" customHeight="1">
      <c r="D917" s="73"/>
    </row>
    <row r="918" ht="15.75" customHeight="1">
      <c r="D918" s="73"/>
    </row>
    <row r="919" ht="15.75" customHeight="1">
      <c r="D919" s="73"/>
    </row>
    <row r="920" ht="15.75" customHeight="1">
      <c r="D920" s="73"/>
    </row>
    <row r="921" ht="15.75" customHeight="1">
      <c r="D921" s="73"/>
    </row>
    <row r="922" ht="15.75" customHeight="1">
      <c r="D922" s="73"/>
    </row>
    <row r="923" ht="15.75" customHeight="1">
      <c r="D923" s="73"/>
    </row>
    <row r="924" ht="15.75" customHeight="1">
      <c r="D924" s="73"/>
    </row>
    <row r="925" ht="15.75" customHeight="1">
      <c r="D925" s="73"/>
    </row>
    <row r="926" ht="15.75" customHeight="1">
      <c r="D926" s="73"/>
    </row>
    <row r="927" ht="15.75" customHeight="1">
      <c r="D927" s="73"/>
    </row>
    <row r="928" ht="15.75" customHeight="1">
      <c r="D928" s="73"/>
    </row>
    <row r="929" ht="15.75" customHeight="1">
      <c r="D929" s="73"/>
    </row>
    <row r="930" ht="15.75" customHeight="1">
      <c r="D930" s="73"/>
    </row>
    <row r="931" ht="15.75" customHeight="1">
      <c r="D931" s="73"/>
    </row>
    <row r="932" ht="15.75" customHeight="1">
      <c r="D932" s="73"/>
    </row>
    <row r="933" ht="15.75" customHeight="1">
      <c r="D933" s="73"/>
    </row>
    <row r="934" ht="15.75" customHeight="1">
      <c r="D934" s="73"/>
    </row>
    <row r="935" ht="15.75" customHeight="1">
      <c r="D935" s="73"/>
    </row>
    <row r="936" ht="15.75" customHeight="1">
      <c r="D936" s="73"/>
    </row>
    <row r="937" ht="15.75" customHeight="1">
      <c r="D937" s="73"/>
    </row>
    <row r="938" ht="15.75" customHeight="1">
      <c r="D938" s="73"/>
    </row>
    <row r="939" ht="15.75" customHeight="1">
      <c r="D939" s="73"/>
    </row>
    <row r="940" ht="15.75" customHeight="1">
      <c r="D940" s="73"/>
    </row>
    <row r="941" ht="15.75" customHeight="1">
      <c r="D941" s="73"/>
    </row>
    <row r="942" ht="15.75" customHeight="1">
      <c r="D942" s="73"/>
    </row>
    <row r="943" ht="15.75" customHeight="1">
      <c r="D943" s="73"/>
    </row>
    <row r="944" ht="15.75" customHeight="1">
      <c r="D944" s="73"/>
    </row>
    <row r="945" ht="15.75" customHeight="1">
      <c r="D945" s="73"/>
    </row>
    <row r="946" ht="15.75" customHeight="1">
      <c r="D946" s="73"/>
    </row>
    <row r="947" ht="15.75" customHeight="1">
      <c r="D947" s="73"/>
    </row>
    <row r="948" ht="15.75" customHeight="1">
      <c r="D948" s="73"/>
    </row>
    <row r="949" ht="15.75" customHeight="1">
      <c r="D949" s="73"/>
    </row>
    <row r="950" ht="15.75" customHeight="1">
      <c r="D950" s="73"/>
    </row>
    <row r="951" ht="15.75" customHeight="1">
      <c r="D951" s="73"/>
    </row>
    <row r="952" ht="15.75" customHeight="1">
      <c r="D952" s="73"/>
    </row>
    <row r="953" ht="15.75" customHeight="1">
      <c r="D953" s="73"/>
    </row>
    <row r="954" ht="15.75" customHeight="1">
      <c r="D954" s="73"/>
    </row>
    <row r="955" ht="15.75" customHeight="1">
      <c r="D955" s="73"/>
    </row>
    <row r="956" ht="15.75" customHeight="1">
      <c r="D956" s="73"/>
    </row>
    <row r="957" ht="15.75" customHeight="1">
      <c r="D957" s="73"/>
    </row>
    <row r="958" ht="15.75" customHeight="1">
      <c r="D958" s="73"/>
    </row>
    <row r="959" ht="15.75" customHeight="1">
      <c r="D959" s="73"/>
    </row>
    <row r="960" ht="15.75" customHeight="1">
      <c r="D960" s="73"/>
    </row>
    <row r="961" ht="15.75" customHeight="1">
      <c r="D961" s="73"/>
    </row>
    <row r="962" ht="15.75" customHeight="1">
      <c r="D962" s="73"/>
    </row>
    <row r="963" ht="15.75" customHeight="1">
      <c r="D963" s="73"/>
    </row>
    <row r="964" ht="15.75" customHeight="1">
      <c r="D964" s="73"/>
    </row>
    <row r="965" ht="15.75" customHeight="1">
      <c r="D965" s="73"/>
    </row>
    <row r="966" ht="15.75" customHeight="1">
      <c r="D966" s="73"/>
    </row>
    <row r="967" ht="15.75" customHeight="1">
      <c r="D967" s="73"/>
    </row>
  </sheetData>
  <mergeCells count="93">
    <mergeCell ref="S1:S2"/>
    <mergeCell ref="U1:U2"/>
    <mergeCell ref="V1:V2"/>
    <mergeCell ref="W1:W2"/>
    <mergeCell ref="X1:X2"/>
    <mergeCell ref="Y1:Y2"/>
    <mergeCell ref="R3:R7"/>
    <mergeCell ref="X3:X7"/>
    <mergeCell ref="T1:T2"/>
    <mergeCell ref="T3:T7"/>
    <mergeCell ref="R8:R19"/>
    <mergeCell ref="T8:T19"/>
    <mergeCell ref="X8:X19"/>
    <mergeCell ref="T20:T27"/>
    <mergeCell ref="T28:T29"/>
    <mergeCell ref="R46:R49"/>
    <mergeCell ref="R50:R52"/>
    <mergeCell ref="R20:R27"/>
    <mergeCell ref="R28:R29"/>
    <mergeCell ref="R30:R34"/>
    <mergeCell ref="T30:T34"/>
    <mergeCell ref="R39:R45"/>
    <mergeCell ref="T39:T45"/>
    <mergeCell ref="T46:T49"/>
    <mergeCell ref="T50:T52"/>
    <mergeCell ref="G59:G62"/>
    <mergeCell ref="H59:H62"/>
    <mergeCell ref="G30:G34"/>
    <mergeCell ref="H30:H34"/>
    <mergeCell ref="G39:G45"/>
    <mergeCell ref="H39:H45"/>
    <mergeCell ref="G46:G49"/>
    <mergeCell ref="H46:H49"/>
    <mergeCell ref="H50:H52"/>
    <mergeCell ref="G63:G64"/>
    <mergeCell ref="H63:H64"/>
    <mergeCell ref="R63:R64"/>
    <mergeCell ref="T63:T64"/>
    <mergeCell ref="G50:G52"/>
    <mergeCell ref="G53:G58"/>
    <mergeCell ref="H53:H58"/>
    <mergeCell ref="R53:R58"/>
    <mergeCell ref="T53:T58"/>
    <mergeCell ref="R59:R62"/>
    <mergeCell ref="T59:T62"/>
    <mergeCell ref="H1:H2"/>
    <mergeCell ref="I1:I2"/>
    <mergeCell ref="J1:N1"/>
    <mergeCell ref="O1:O2"/>
    <mergeCell ref="P1:P2"/>
    <mergeCell ref="Q1:Q2"/>
    <mergeCell ref="R1:R2"/>
    <mergeCell ref="G1:G2"/>
    <mergeCell ref="G3:G7"/>
    <mergeCell ref="H3:H7"/>
    <mergeCell ref="A1:A2"/>
    <mergeCell ref="B1:B2"/>
    <mergeCell ref="C1:C2"/>
    <mergeCell ref="D1:D2"/>
    <mergeCell ref="E1:E2"/>
    <mergeCell ref="A3:A7"/>
    <mergeCell ref="A8:A19"/>
    <mergeCell ref="F1:F2"/>
    <mergeCell ref="G8:G19"/>
    <mergeCell ref="H8:H19"/>
    <mergeCell ref="G20:G27"/>
    <mergeCell ref="H20:H27"/>
    <mergeCell ref="G28:G29"/>
    <mergeCell ref="H28:H29"/>
    <mergeCell ref="A59:A62"/>
    <mergeCell ref="A63:A64"/>
    <mergeCell ref="A65:A66"/>
    <mergeCell ref="G65:G66"/>
    <mergeCell ref="H65:H66"/>
    <mergeCell ref="A20:A27"/>
    <mergeCell ref="A28:A29"/>
    <mergeCell ref="A30:A34"/>
    <mergeCell ref="A39:A45"/>
    <mergeCell ref="A46:A49"/>
    <mergeCell ref="A50:A52"/>
    <mergeCell ref="A53:A58"/>
    <mergeCell ref="X59:X62"/>
    <mergeCell ref="X63:X64"/>
    <mergeCell ref="R65:R66"/>
    <mergeCell ref="T65:T66"/>
    <mergeCell ref="X65:X66"/>
    <mergeCell ref="X20:X27"/>
    <mergeCell ref="X28:X29"/>
    <mergeCell ref="X30:X34"/>
    <mergeCell ref="X39:X45"/>
    <mergeCell ref="X46:X49"/>
    <mergeCell ref="X50:X52"/>
    <mergeCell ref="X53:X58"/>
  </mergeCells>
  <printOptions/>
  <pageMargins bottom="1.0" footer="0.0" header="0.0" left="0.75" right="0.75" top="1.0"/>
  <pageSetup fitToHeight="0"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4.0"/>
    <col customWidth="1" min="3" max="3" width="46.0"/>
    <col customWidth="1" min="4" max="4" width="60.0"/>
    <col customWidth="1" min="5" max="5" width="22.0"/>
    <col customWidth="1" min="6" max="26" width="8.71"/>
  </cols>
  <sheetData>
    <row r="1" ht="30.0" customHeight="1">
      <c r="A1" s="3" t="s">
        <v>1</v>
      </c>
      <c r="B1" s="3" t="s">
        <v>3</v>
      </c>
      <c r="C1" s="3" t="s">
        <v>4</v>
      </c>
      <c r="D1" s="3" t="s">
        <v>6</v>
      </c>
      <c r="E1" s="3" t="s">
        <v>7</v>
      </c>
    </row>
    <row r="2" ht="43.5" customHeight="1">
      <c r="A2" s="4" t="s">
        <v>11</v>
      </c>
      <c r="B2" s="5" t="s">
        <v>16</v>
      </c>
      <c r="C2" s="5" t="s">
        <v>18</v>
      </c>
      <c r="D2" s="5" t="s">
        <v>20</v>
      </c>
      <c r="E2" s="5" t="s">
        <v>21</v>
      </c>
    </row>
    <row r="3" ht="43.5" customHeight="1">
      <c r="A3" s="4" t="s">
        <v>22</v>
      </c>
      <c r="B3" s="5" t="s">
        <v>16</v>
      </c>
      <c r="C3" s="5" t="s">
        <v>23</v>
      </c>
      <c r="D3" s="5" t="s">
        <v>24</v>
      </c>
      <c r="E3" s="5" t="s">
        <v>25</v>
      </c>
    </row>
    <row r="4" ht="43.5" customHeight="1">
      <c r="A4" s="4" t="s">
        <v>26</v>
      </c>
      <c r="B4" s="5" t="s">
        <v>16</v>
      </c>
      <c r="C4" s="5" t="s">
        <v>27</v>
      </c>
      <c r="D4" s="5" t="s">
        <v>28</v>
      </c>
      <c r="E4" s="5" t="s">
        <v>29</v>
      </c>
    </row>
    <row r="5" ht="43.5" customHeight="1">
      <c r="A5" s="4" t="s">
        <v>30</v>
      </c>
      <c r="B5" s="5" t="s">
        <v>16</v>
      </c>
      <c r="C5" s="5" t="s">
        <v>31</v>
      </c>
      <c r="D5" s="5" t="s">
        <v>32</v>
      </c>
      <c r="E5" s="5" t="s">
        <v>33</v>
      </c>
    </row>
    <row r="6" ht="43.5" customHeight="1">
      <c r="A6" s="4" t="s">
        <v>34</v>
      </c>
      <c r="B6" s="5" t="s">
        <v>16</v>
      </c>
      <c r="C6" s="5" t="s">
        <v>36</v>
      </c>
      <c r="D6" s="5" t="s">
        <v>37</v>
      </c>
      <c r="E6" s="5" t="s">
        <v>38</v>
      </c>
    </row>
    <row r="7" ht="43.5" customHeight="1">
      <c r="A7" s="4" t="s">
        <v>40</v>
      </c>
      <c r="B7" s="5" t="s">
        <v>16</v>
      </c>
      <c r="C7" s="5" t="s">
        <v>42</v>
      </c>
      <c r="D7" s="5" t="s">
        <v>43</v>
      </c>
      <c r="E7" s="5" t="s">
        <v>44</v>
      </c>
    </row>
    <row r="8" ht="43.5" customHeight="1">
      <c r="A8" s="4" t="s">
        <v>45</v>
      </c>
      <c r="B8" s="5" t="s">
        <v>46</v>
      </c>
      <c r="C8" s="5" t="s">
        <v>47</v>
      </c>
      <c r="D8" s="5" t="s">
        <v>48</v>
      </c>
      <c r="E8" s="5" t="s">
        <v>38</v>
      </c>
    </row>
    <row r="9" ht="43.5" customHeight="1">
      <c r="A9" s="4" t="s">
        <v>49</v>
      </c>
      <c r="B9" s="5" t="s">
        <v>46</v>
      </c>
      <c r="C9" s="5" t="s">
        <v>50</v>
      </c>
      <c r="D9" s="5" t="s">
        <v>52</v>
      </c>
      <c r="E9" s="5" t="s">
        <v>54</v>
      </c>
    </row>
    <row r="10" ht="43.5" customHeight="1">
      <c r="A10" s="4" t="s">
        <v>55</v>
      </c>
      <c r="B10" s="5" t="s">
        <v>46</v>
      </c>
      <c r="C10" s="5" t="s">
        <v>57</v>
      </c>
      <c r="D10" s="5" t="s">
        <v>58</v>
      </c>
      <c r="E10" s="5" t="s">
        <v>59</v>
      </c>
    </row>
    <row r="11" ht="43.5" customHeight="1">
      <c r="A11" s="4" t="s">
        <v>62</v>
      </c>
      <c r="B11" s="5" t="s">
        <v>46</v>
      </c>
      <c r="C11" s="5" t="s">
        <v>64</v>
      </c>
      <c r="D11" s="5" t="s">
        <v>65</v>
      </c>
      <c r="E11" s="5" t="s">
        <v>54</v>
      </c>
    </row>
    <row r="12" ht="43.5" customHeight="1">
      <c r="A12" s="4" t="s">
        <v>66</v>
      </c>
      <c r="B12" s="5" t="s">
        <v>68</v>
      </c>
      <c r="C12" s="5" t="s">
        <v>69</v>
      </c>
      <c r="D12" s="5" t="s">
        <v>70</v>
      </c>
      <c r="E12" s="5" t="s">
        <v>59</v>
      </c>
    </row>
    <row r="13" ht="43.5" customHeight="1">
      <c r="A13" s="4" t="s">
        <v>73</v>
      </c>
      <c r="B13" s="5" t="s">
        <v>68</v>
      </c>
      <c r="C13" s="5" t="s">
        <v>75</v>
      </c>
      <c r="D13" s="5" t="s">
        <v>77</v>
      </c>
      <c r="E13" s="5" t="s">
        <v>59</v>
      </c>
    </row>
    <row r="14" ht="43.5" customHeight="1">
      <c r="A14" s="4" t="s">
        <v>78</v>
      </c>
      <c r="B14" s="5" t="s">
        <v>68</v>
      </c>
      <c r="C14" s="5" t="s">
        <v>80</v>
      </c>
      <c r="D14" s="5" t="s">
        <v>81</v>
      </c>
      <c r="E14" s="5" t="s">
        <v>54</v>
      </c>
    </row>
    <row r="15" ht="43.5" customHeight="1">
      <c r="A15" s="4" t="s">
        <v>83</v>
      </c>
      <c r="B15" s="5" t="s">
        <v>68</v>
      </c>
      <c r="C15" s="5" t="s">
        <v>84</v>
      </c>
      <c r="D15" s="5" t="s">
        <v>85</v>
      </c>
      <c r="E15" s="5" t="s">
        <v>87</v>
      </c>
    </row>
    <row r="16" ht="43.5" customHeight="1">
      <c r="A16" s="4" t="s">
        <v>89</v>
      </c>
      <c r="B16" s="5" t="s">
        <v>68</v>
      </c>
      <c r="C16" s="5" t="s">
        <v>90</v>
      </c>
      <c r="D16" s="5" t="s">
        <v>91</v>
      </c>
      <c r="E16" s="5" t="s">
        <v>87</v>
      </c>
    </row>
    <row r="18">
      <c r="A18" s="1" t="s">
        <v>93</v>
      </c>
    </row>
    <row r="19" ht="19.5" customHeight="1">
      <c r="A19" s="11" t="s">
        <v>95</v>
      </c>
      <c r="B19" s="5" t="s">
        <v>97</v>
      </c>
      <c r="C19" s="15" t="s">
        <v>98</v>
      </c>
      <c r="D19" s="13"/>
      <c r="E19" s="14"/>
    </row>
    <row r="20" ht="19.5" customHeight="1">
      <c r="A20" s="11" t="s">
        <v>103</v>
      </c>
      <c r="B20" s="5" t="s">
        <v>105</v>
      </c>
      <c r="C20" s="15" t="s">
        <v>106</v>
      </c>
      <c r="D20" s="13"/>
      <c r="E20" s="14"/>
    </row>
    <row r="21" ht="19.5" customHeight="1">
      <c r="A21" s="11" t="s">
        <v>112</v>
      </c>
      <c r="B21" s="5" t="s">
        <v>113</v>
      </c>
      <c r="C21" s="15" t="s">
        <v>115</v>
      </c>
      <c r="D21" s="13"/>
      <c r="E21" s="14"/>
    </row>
    <row r="22" ht="19.5" customHeight="1">
      <c r="A22" s="11" t="s">
        <v>117</v>
      </c>
      <c r="B22" s="5" t="s">
        <v>119</v>
      </c>
      <c r="C22" s="15" t="s">
        <v>121</v>
      </c>
      <c r="D22" s="13"/>
      <c r="E22" s="14"/>
    </row>
    <row r="23" ht="19.5" customHeight="1">
      <c r="A23" s="11" t="s">
        <v>125</v>
      </c>
      <c r="B23" s="5" t="s">
        <v>126</v>
      </c>
      <c r="C23" s="15" t="s">
        <v>128</v>
      </c>
      <c r="D23" s="13"/>
      <c r="E23" s="14"/>
    </row>
    <row r="24" ht="15.75" customHeight="1"/>
    <row r="25" ht="30.0" customHeight="1">
      <c r="A25" s="17" t="s">
        <v>133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9:E19"/>
    <mergeCell ref="C20:E20"/>
    <mergeCell ref="C21:E21"/>
    <mergeCell ref="C22:E22"/>
    <mergeCell ref="C23:E23"/>
    <mergeCell ref="A25:E25"/>
  </mergeCell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44.0"/>
    <col customWidth="1" min="3" max="3" width="26.0"/>
    <col customWidth="1" min="4" max="4" width="44.0"/>
    <col customWidth="1" min="5" max="5" width="34.0"/>
    <col customWidth="1" min="6" max="6" width="12.0"/>
    <col customWidth="1" min="7" max="26" width="8.71"/>
  </cols>
  <sheetData>
    <row r="1">
      <c r="A1" s="1" t="s">
        <v>419</v>
      </c>
    </row>
    <row r="2" ht="19.5" customHeight="1">
      <c r="A2" s="58" t="s">
        <v>427</v>
      </c>
    </row>
    <row r="3" ht="19.5" customHeight="1">
      <c r="A3" s="58" t="s">
        <v>431</v>
      </c>
    </row>
    <row r="4" ht="19.5" customHeight="1">
      <c r="A4" s="58" t="s">
        <v>433</v>
      </c>
    </row>
    <row r="5" ht="19.5" customHeight="1">
      <c r="A5" s="58" t="s">
        <v>436</v>
      </c>
    </row>
    <row r="6" ht="19.5" customHeight="1">
      <c r="A6" s="58" t="s">
        <v>438</v>
      </c>
    </row>
    <row r="8">
      <c r="A8" s="1" t="s">
        <v>440</v>
      </c>
    </row>
    <row r="9" ht="30.0" customHeight="1">
      <c r="A9" s="59" t="s">
        <v>447</v>
      </c>
      <c r="B9" s="59" t="s">
        <v>449</v>
      </c>
      <c r="C9" s="59" t="s">
        <v>7</v>
      </c>
      <c r="D9" s="59" t="s">
        <v>451</v>
      </c>
      <c r="E9" s="59" t="s">
        <v>453</v>
      </c>
      <c r="F9" s="59" t="s">
        <v>455</v>
      </c>
    </row>
    <row r="10" ht="48.0" customHeight="1">
      <c r="A10" s="60" t="s">
        <v>456</v>
      </c>
      <c r="B10" s="5" t="s">
        <v>464</v>
      </c>
      <c r="C10" s="5" t="s">
        <v>25</v>
      </c>
      <c r="D10" s="5" t="s">
        <v>470</v>
      </c>
      <c r="E10" s="5" t="s">
        <v>473</v>
      </c>
      <c r="F10" s="5">
        <v>46.0</v>
      </c>
    </row>
    <row r="11" ht="48.0" customHeight="1">
      <c r="A11" s="60" t="s">
        <v>475</v>
      </c>
      <c r="B11" s="5" t="s">
        <v>478</v>
      </c>
      <c r="C11" s="5" t="s">
        <v>87</v>
      </c>
      <c r="D11" s="5" t="s">
        <v>481</v>
      </c>
      <c r="E11" s="5" t="s">
        <v>483</v>
      </c>
      <c r="F11" s="5">
        <v>54.0</v>
      </c>
    </row>
    <row r="12" ht="48.0" customHeight="1">
      <c r="A12" s="60" t="s">
        <v>484</v>
      </c>
      <c r="B12" s="5" t="s">
        <v>485</v>
      </c>
      <c r="C12" s="5" t="s">
        <v>54</v>
      </c>
      <c r="D12" s="5" t="s">
        <v>488</v>
      </c>
      <c r="E12" s="5" t="s">
        <v>489</v>
      </c>
      <c r="F12" s="5">
        <v>51.0</v>
      </c>
    </row>
    <row r="13" ht="48.0" customHeight="1">
      <c r="A13" s="60" t="s">
        <v>491</v>
      </c>
      <c r="B13" s="5" t="s">
        <v>493</v>
      </c>
      <c r="C13" s="5" t="s">
        <v>54</v>
      </c>
      <c r="D13" s="5" t="s">
        <v>494</v>
      </c>
      <c r="E13" s="5" t="s">
        <v>496</v>
      </c>
      <c r="F13" s="5">
        <v>58.0</v>
      </c>
    </row>
    <row r="15">
      <c r="A15" s="1" t="s">
        <v>499</v>
      </c>
    </row>
    <row r="16" ht="30.0" customHeight="1">
      <c r="A16" s="61" t="s">
        <v>447</v>
      </c>
      <c r="B16" s="61" t="s">
        <v>449</v>
      </c>
      <c r="C16" s="61" t="s">
        <v>503</v>
      </c>
      <c r="D16" s="61" t="s">
        <v>451</v>
      </c>
      <c r="E16" s="61"/>
      <c r="F16" s="61" t="s">
        <v>455</v>
      </c>
    </row>
    <row r="17" ht="55.5" customHeight="1">
      <c r="A17" s="62" t="s">
        <v>507</v>
      </c>
      <c r="B17" s="5" t="s">
        <v>512</v>
      </c>
      <c r="C17" s="5" t="s">
        <v>515</v>
      </c>
      <c r="D17" s="5" t="s">
        <v>518</v>
      </c>
      <c r="E17" s="5"/>
      <c r="F17" s="5">
        <v>72.0</v>
      </c>
    </row>
    <row r="18" ht="55.5" customHeight="1">
      <c r="A18" s="62" t="s">
        <v>523</v>
      </c>
      <c r="B18" s="5" t="s">
        <v>524</v>
      </c>
      <c r="C18" s="5" t="s">
        <v>527</v>
      </c>
      <c r="D18" s="5" t="s">
        <v>528</v>
      </c>
      <c r="E18" s="5"/>
      <c r="F18" s="5">
        <v>66.0</v>
      </c>
    </row>
    <row r="19" ht="55.5" customHeight="1">
      <c r="A19" s="62" t="s">
        <v>529</v>
      </c>
      <c r="B19" s="5" t="s">
        <v>531</v>
      </c>
      <c r="C19" s="5" t="s">
        <v>532</v>
      </c>
      <c r="D19" s="5" t="s">
        <v>534</v>
      </c>
      <c r="E19" s="5"/>
      <c r="F19" s="5">
        <v>71.0</v>
      </c>
    </row>
    <row r="21" ht="15.75" customHeight="1">
      <c r="A21" s="1" t="s">
        <v>536</v>
      </c>
    </row>
    <row r="22" ht="15.75" customHeight="1">
      <c r="A22" s="3" t="s">
        <v>540</v>
      </c>
      <c r="B22" s="3" t="s">
        <v>542</v>
      </c>
      <c r="C22" s="3"/>
      <c r="D22" s="3"/>
      <c r="E22" s="3"/>
      <c r="F22" s="3"/>
    </row>
    <row r="23" ht="19.5" customHeight="1">
      <c r="A23" s="11" t="s">
        <v>549</v>
      </c>
      <c r="B23" s="15" t="s">
        <v>552</v>
      </c>
      <c r="C23" s="13"/>
      <c r="D23" s="13"/>
      <c r="E23" s="13"/>
      <c r="F23" s="14"/>
    </row>
    <row r="24" ht="19.5" customHeight="1">
      <c r="A24" s="11" t="s">
        <v>567</v>
      </c>
      <c r="B24" s="15" t="s">
        <v>570</v>
      </c>
      <c r="C24" s="13"/>
      <c r="D24" s="13"/>
      <c r="E24" s="13"/>
      <c r="F24" s="14"/>
    </row>
    <row r="25" ht="19.5" customHeight="1">
      <c r="A25" s="11" t="s">
        <v>577</v>
      </c>
      <c r="B25" s="15" t="s">
        <v>579</v>
      </c>
      <c r="C25" s="13"/>
      <c r="D25" s="13"/>
      <c r="E25" s="13"/>
      <c r="F25" s="1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F2"/>
    <mergeCell ref="A3:F3"/>
    <mergeCell ref="A4:F4"/>
    <mergeCell ref="A5:F5"/>
    <mergeCell ref="A6:F6"/>
    <mergeCell ref="B23:F23"/>
    <mergeCell ref="B24:F24"/>
    <mergeCell ref="B25:F25"/>
  </mergeCell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32.0"/>
    <col customWidth="1" min="3" max="4" width="40.0"/>
    <col customWidth="1" min="5" max="5" width="70.0"/>
    <col customWidth="1" min="6" max="26" width="8.71"/>
  </cols>
  <sheetData>
    <row r="1" ht="30.0" customHeight="1">
      <c r="A1" s="3" t="s">
        <v>1</v>
      </c>
      <c r="B1" s="3" t="s">
        <v>792</v>
      </c>
      <c r="C1" s="3" t="s">
        <v>796</v>
      </c>
      <c r="D1" s="3" t="s">
        <v>800</v>
      </c>
      <c r="E1" s="3" t="s">
        <v>802</v>
      </c>
    </row>
    <row r="2" ht="55.5" customHeight="1">
      <c r="A2" s="63" t="s">
        <v>806</v>
      </c>
      <c r="B2" s="5" t="s">
        <v>810</v>
      </c>
      <c r="C2" s="64" t="s">
        <v>813</v>
      </c>
      <c r="D2" s="5" t="s">
        <v>817</v>
      </c>
      <c r="E2" s="5" t="s">
        <v>820</v>
      </c>
    </row>
    <row r="3" ht="42.0" customHeight="1">
      <c r="A3" s="63" t="s">
        <v>823</v>
      </c>
      <c r="B3" s="5" t="s">
        <v>810</v>
      </c>
      <c r="C3" s="64" t="s">
        <v>827</v>
      </c>
      <c r="D3" s="5" t="s">
        <v>829</v>
      </c>
      <c r="E3" s="5" t="s">
        <v>832</v>
      </c>
    </row>
    <row r="4" ht="55.5" customHeight="1">
      <c r="A4" s="63" t="s">
        <v>834</v>
      </c>
      <c r="B4" s="5" t="s">
        <v>810</v>
      </c>
      <c r="C4" s="64" t="s">
        <v>836</v>
      </c>
      <c r="D4" s="5" t="s">
        <v>837</v>
      </c>
      <c r="E4" s="5" t="s">
        <v>839</v>
      </c>
    </row>
    <row r="5" ht="30.0" customHeight="1">
      <c r="A5" s="63" t="s">
        <v>841</v>
      </c>
      <c r="B5" s="5" t="s">
        <v>842</v>
      </c>
      <c r="C5" s="64" t="s">
        <v>844</v>
      </c>
      <c r="D5" s="5" t="s">
        <v>847</v>
      </c>
      <c r="E5" s="5" t="s">
        <v>848</v>
      </c>
    </row>
    <row r="6" ht="42.0" customHeight="1">
      <c r="A6" s="63" t="s">
        <v>851</v>
      </c>
      <c r="B6" s="5" t="s">
        <v>842</v>
      </c>
      <c r="C6" s="64" t="s">
        <v>853</v>
      </c>
      <c r="D6" s="5" t="s">
        <v>854</v>
      </c>
      <c r="E6" s="5" t="s">
        <v>857</v>
      </c>
    </row>
    <row r="7" ht="42.0" customHeight="1">
      <c r="A7" s="63" t="s">
        <v>860</v>
      </c>
      <c r="B7" s="5" t="s">
        <v>842</v>
      </c>
      <c r="C7" s="64" t="s">
        <v>862</v>
      </c>
      <c r="D7" s="5" t="s">
        <v>864</v>
      </c>
      <c r="E7" s="5" t="s">
        <v>867</v>
      </c>
    </row>
    <row r="8" ht="42.0" customHeight="1">
      <c r="A8" s="63" t="s">
        <v>869</v>
      </c>
      <c r="B8" s="5" t="s">
        <v>842</v>
      </c>
      <c r="C8" s="64" t="s">
        <v>872</v>
      </c>
      <c r="D8" s="5" t="s">
        <v>874</v>
      </c>
      <c r="E8" s="5" t="s">
        <v>877</v>
      </c>
    </row>
    <row r="9" ht="30.0" customHeight="1">
      <c r="A9" s="63" t="s">
        <v>879</v>
      </c>
      <c r="B9" s="5" t="s">
        <v>842</v>
      </c>
      <c r="C9" s="64" t="s">
        <v>881</v>
      </c>
      <c r="D9" s="5" t="s">
        <v>882</v>
      </c>
      <c r="E9" s="5" t="s">
        <v>884</v>
      </c>
    </row>
    <row r="10" ht="30.0" customHeight="1">
      <c r="A10" s="63" t="s">
        <v>885</v>
      </c>
      <c r="B10" s="5" t="s">
        <v>842</v>
      </c>
      <c r="C10" s="64" t="s">
        <v>886</v>
      </c>
      <c r="D10" s="5" t="s">
        <v>887</v>
      </c>
      <c r="E10" s="5" t="s">
        <v>888</v>
      </c>
    </row>
    <row r="11" ht="42.0" customHeight="1">
      <c r="A11" s="63" t="s">
        <v>891</v>
      </c>
      <c r="B11" s="5" t="s">
        <v>892</v>
      </c>
      <c r="C11" s="64" t="s">
        <v>894</v>
      </c>
      <c r="D11" s="5" t="s">
        <v>896</v>
      </c>
      <c r="E11" s="5" t="s">
        <v>898</v>
      </c>
    </row>
    <row r="12" ht="42.0" customHeight="1">
      <c r="A12" s="63" t="s">
        <v>900</v>
      </c>
      <c r="B12" s="5" t="s">
        <v>892</v>
      </c>
      <c r="C12" s="64" t="s">
        <v>901</v>
      </c>
      <c r="D12" s="5" t="s">
        <v>903</v>
      </c>
      <c r="E12" s="5" t="s">
        <v>905</v>
      </c>
    </row>
    <row r="13" ht="42.0" customHeight="1">
      <c r="A13" s="63" t="s">
        <v>906</v>
      </c>
      <c r="B13" s="5" t="s">
        <v>892</v>
      </c>
      <c r="C13" s="64" t="s">
        <v>907</v>
      </c>
      <c r="D13" s="5" t="s">
        <v>909</v>
      </c>
      <c r="E13" s="5" t="s">
        <v>913</v>
      </c>
    </row>
    <row r="14" ht="55.5" customHeight="1">
      <c r="A14" s="63" t="s">
        <v>916</v>
      </c>
      <c r="B14" s="5" t="s">
        <v>892</v>
      </c>
      <c r="C14" s="64" t="s">
        <v>920</v>
      </c>
      <c r="D14" s="5" t="s">
        <v>922</v>
      </c>
      <c r="E14" s="5" t="s">
        <v>925</v>
      </c>
    </row>
    <row r="15" ht="30.0" customHeight="1">
      <c r="A15" s="63" t="s">
        <v>928</v>
      </c>
      <c r="B15" s="5" t="s">
        <v>930</v>
      </c>
      <c r="C15" s="64" t="s">
        <v>931</v>
      </c>
      <c r="D15" s="5" t="s">
        <v>933</v>
      </c>
      <c r="E15" s="5" t="s">
        <v>935</v>
      </c>
    </row>
    <row r="16" ht="30.0" customHeight="1">
      <c r="A16" s="63" t="s">
        <v>939</v>
      </c>
      <c r="B16" s="5" t="s">
        <v>930</v>
      </c>
      <c r="C16" s="64" t="s">
        <v>942</v>
      </c>
      <c r="D16" s="5" t="s">
        <v>944</v>
      </c>
      <c r="E16" s="5" t="s">
        <v>945</v>
      </c>
    </row>
    <row r="17" ht="30.0" customHeight="1">
      <c r="A17" s="63" t="s">
        <v>946</v>
      </c>
      <c r="B17" s="5" t="s">
        <v>930</v>
      </c>
      <c r="C17" s="64" t="s">
        <v>951</v>
      </c>
      <c r="D17" s="5" t="s">
        <v>953</v>
      </c>
      <c r="E17" s="5" t="s">
        <v>954</v>
      </c>
    </row>
    <row r="18" ht="42.0" customHeight="1">
      <c r="A18" s="63" t="s">
        <v>955</v>
      </c>
      <c r="B18" s="5" t="s">
        <v>930</v>
      </c>
      <c r="C18" s="64" t="s">
        <v>957</v>
      </c>
      <c r="D18" s="5" t="s">
        <v>959</v>
      </c>
      <c r="E18" s="5" t="s">
        <v>962</v>
      </c>
    </row>
    <row r="19" ht="30.0" customHeight="1">
      <c r="A19" s="63" t="s">
        <v>964</v>
      </c>
      <c r="B19" s="5" t="s">
        <v>966</v>
      </c>
      <c r="C19" s="64" t="s">
        <v>968</v>
      </c>
      <c r="D19" s="5" t="s">
        <v>970</v>
      </c>
      <c r="E19" s="5" t="s">
        <v>972</v>
      </c>
    </row>
    <row r="20" ht="30.0" customHeight="1">
      <c r="A20" s="63" t="s">
        <v>975</v>
      </c>
      <c r="B20" s="5" t="s">
        <v>966</v>
      </c>
      <c r="C20" s="64" t="s">
        <v>977</v>
      </c>
      <c r="D20" s="5" t="s">
        <v>978</v>
      </c>
      <c r="E20" s="5" t="s">
        <v>979</v>
      </c>
    </row>
    <row r="21" ht="42.0" customHeight="1">
      <c r="A21" s="63" t="s">
        <v>982</v>
      </c>
      <c r="B21" s="5" t="s">
        <v>966</v>
      </c>
      <c r="C21" s="64" t="s">
        <v>984</v>
      </c>
      <c r="D21" s="5" t="s">
        <v>985</v>
      </c>
      <c r="E21" s="5" t="s">
        <v>987</v>
      </c>
    </row>
    <row r="22" ht="30.0" customHeight="1">
      <c r="A22" s="63" t="s">
        <v>989</v>
      </c>
      <c r="B22" s="5" t="s">
        <v>966</v>
      </c>
      <c r="C22" s="64" t="s">
        <v>991</v>
      </c>
      <c r="D22" s="5" t="s">
        <v>993</v>
      </c>
      <c r="E22" s="5" t="s">
        <v>994</v>
      </c>
    </row>
    <row r="23" ht="15.75" customHeight="1"/>
    <row r="24" ht="43.5" customHeight="1">
      <c r="A24" s="17" t="s">
        <v>1000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E24"/>
  </mergeCell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120.0"/>
    <col customWidth="1" min="3" max="26" width="8.71"/>
  </cols>
  <sheetData>
    <row r="1" ht="73.5" customHeight="1">
      <c r="A1" s="11" t="s">
        <v>1081</v>
      </c>
      <c r="B1" s="5" t="s">
        <v>1084</v>
      </c>
    </row>
    <row r="2" ht="87.75" customHeight="1">
      <c r="A2" s="11" t="s">
        <v>1087</v>
      </c>
      <c r="B2" s="5" t="s">
        <v>1091</v>
      </c>
    </row>
    <row r="3" ht="60.0" customHeight="1">
      <c r="A3" s="11" t="s">
        <v>1094</v>
      </c>
      <c r="B3" s="5" t="s">
        <v>1096</v>
      </c>
    </row>
    <row r="4" ht="60.0" customHeight="1">
      <c r="A4" s="11" t="s">
        <v>1098</v>
      </c>
      <c r="B4" s="5" t="s">
        <v>1100</v>
      </c>
    </row>
    <row r="5" ht="45.75" customHeight="1">
      <c r="A5" s="11" t="s">
        <v>1102</v>
      </c>
      <c r="B5" s="5" t="s">
        <v>1104</v>
      </c>
    </row>
    <row r="6" ht="45.75" customHeight="1">
      <c r="A6" s="11" t="s">
        <v>1105</v>
      </c>
      <c r="B6" s="5" t="s">
        <v>1107</v>
      </c>
    </row>
    <row r="7" ht="60.0" customHeight="1">
      <c r="A7" s="11" t="s">
        <v>1110</v>
      </c>
      <c r="B7" s="5" t="s">
        <v>1112</v>
      </c>
    </row>
    <row r="8" ht="60.0" customHeight="1">
      <c r="A8" s="11" t="s">
        <v>1113</v>
      </c>
      <c r="B8" s="5" t="s">
        <v>1116</v>
      </c>
    </row>
    <row r="9" ht="45.75" customHeight="1">
      <c r="A9" s="11" t="s">
        <v>1119</v>
      </c>
      <c r="B9" s="5" t="s">
        <v>1122</v>
      </c>
    </row>
    <row r="10" ht="31.5" customHeight="1">
      <c r="A10" s="11" t="s">
        <v>1125</v>
      </c>
      <c r="B10" s="5" t="s">
        <v>1137</v>
      </c>
    </row>
    <row r="11" ht="73.5" customHeight="1">
      <c r="A11" s="11" t="s">
        <v>1139</v>
      </c>
      <c r="B11" s="5" t="s">
        <v>1141</v>
      </c>
    </row>
    <row r="12" ht="31.5" customHeight="1">
      <c r="A12" s="11" t="s">
        <v>1143</v>
      </c>
      <c r="B12" s="5" t="s">
        <v>1145</v>
      </c>
    </row>
    <row r="13" ht="31.5" customHeight="1">
      <c r="A13" s="11" t="s">
        <v>1148</v>
      </c>
      <c r="B13" s="5" t="s">
        <v>1150</v>
      </c>
    </row>
    <row r="14" ht="60.0" customHeight="1">
      <c r="A14" s="11" t="s">
        <v>1152</v>
      </c>
      <c r="B14" s="5" t="s">
        <v>1155</v>
      </c>
    </row>
    <row r="15" ht="87.75" customHeight="1">
      <c r="A15" s="11" t="s">
        <v>1157</v>
      </c>
      <c r="B15" s="5" t="s">
        <v>1160</v>
      </c>
    </row>
    <row r="16" ht="60.0" customHeight="1">
      <c r="A16" s="11" t="s">
        <v>1162</v>
      </c>
      <c r="B16" s="5" t="s">
        <v>1165</v>
      </c>
    </row>
    <row r="17" ht="129.75" customHeight="1">
      <c r="A17" s="11" t="s">
        <v>1168</v>
      </c>
      <c r="B17" s="5" t="s">
        <v>1174</v>
      </c>
    </row>
    <row r="18" ht="45.75" customHeight="1">
      <c r="A18" s="11" t="s">
        <v>184</v>
      </c>
      <c r="B18" s="5" t="s">
        <v>1176</v>
      </c>
    </row>
    <row r="19" ht="60.0" customHeight="1">
      <c r="A19" s="11" t="s">
        <v>1177</v>
      </c>
      <c r="B19" s="5" t="s">
        <v>1178</v>
      </c>
    </row>
    <row r="20" ht="31.5" customHeight="1">
      <c r="A20" s="11" t="s">
        <v>1179</v>
      </c>
      <c r="B20" s="5" t="s">
        <v>1181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46.0"/>
    <col customWidth="1" min="3" max="4" width="30.0"/>
    <col customWidth="1" min="5" max="5" width="22.0"/>
    <col customWidth="1" min="6" max="6" width="46.0"/>
    <col customWidth="1" min="7" max="8" width="40.0"/>
    <col customWidth="1" min="9" max="26" width="8.71"/>
  </cols>
  <sheetData>
    <row r="1" ht="14.25" customHeight="1">
      <c r="A1" s="65" t="s">
        <v>1330</v>
      </c>
      <c r="B1" s="66"/>
      <c r="C1" s="66"/>
      <c r="D1" s="66"/>
      <c r="E1" s="66"/>
      <c r="F1" s="66"/>
      <c r="G1" s="66"/>
      <c r="H1" s="66"/>
      <c r="I1" s="66"/>
      <c r="J1" s="66"/>
      <c r="K1" s="66"/>
      <c r="L1" s="66"/>
      <c r="M1" s="66"/>
      <c r="N1" s="66"/>
      <c r="O1" s="66"/>
      <c r="P1" s="66"/>
      <c r="Q1" s="66"/>
      <c r="R1" s="66"/>
      <c r="S1" s="66"/>
      <c r="T1" s="66"/>
      <c r="U1" s="66"/>
      <c r="V1" s="66"/>
      <c r="W1" s="66"/>
      <c r="X1" s="66"/>
      <c r="Y1" s="66"/>
      <c r="Z1" s="66"/>
    </row>
    <row r="2" ht="14.25" customHeight="1">
      <c r="A2" s="67" t="s">
        <v>1361</v>
      </c>
      <c r="B2" s="66"/>
      <c r="C2" s="66"/>
      <c r="D2" s="66"/>
      <c r="E2" s="66"/>
      <c r="F2" s="66"/>
      <c r="G2" s="66"/>
      <c r="H2" s="66"/>
      <c r="I2" s="66"/>
      <c r="J2" s="66"/>
      <c r="K2" s="66"/>
      <c r="L2" s="66"/>
      <c r="M2" s="66"/>
      <c r="N2" s="66"/>
      <c r="O2" s="66"/>
      <c r="P2" s="66"/>
      <c r="Q2" s="66"/>
      <c r="R2" s="66"/>
      <c r="S2" s="66"/>
      <c r="T2" s="66"/>
      <c r="U2" s="66"/>
      <c r="V2" s="66"/>
      <c r="W2" s="66"/>
      <c r="X2" s="66"/>
      <c r="Y2" s="66"/>
      <c r="Z2" s="66"/>
    </row>
    <row r="3" ht="14.25" customHeight="1">
      <c r="A3" s="66"/>
      <c r="B3" s="66"/>
      <c r="C3" s="66"/>
      <c r="D3" s="66"/>
      <c r="E3" s="66"/>
      <c r="F3" s="66"/>
      <c r="G3" s="66"/>
      <c r="H3" s="66"/>
      <c r="I3" s="66"/>
      <c r="J3" s="66"/>
      <c r="K3" s="66"/>
      <c r="L3" s="66"/>
      <c r="M3" s="66"/>
      <c r="N3" s="66"/>
      <c r="O3" s="66"/>
      <c r="P3" s="66"/>
      <c r="Q3" s="66"/>
      <c r="R3" s="66"/>
      <c r="S3" s="66"/>
      <c r="T3" s="66"/>
      <c r="U3" s="66"/>
      <c r="V3" s="66"/>
      <c r="W3" s="66"/>
      <c r="X3" s="66"/>
      <c r="Y3" s="66"/>
      <c r="Z3" s="66"/>
    </row>
    <row r="4" ht="14.25" customHeight="1">
      <c r="A4" s="68" t="s">
        <v>1372</v>
      </c>
      <c r="B4" s="66"/>
      <c r="C4" s="66"/>
      <c r="D4" s="66"/>
      <c r="E4" s="66"/>
      <c r="F4" s="66"/>
      <c r="G4" s="66"/>
      <c r="H4" s="66"/>
      <c r="I4" s="66"/>
      <c r="J4" s="66"/>
      <c r="K4" s="66"/>
      <c r="L4" s="66"/>
      <c r="M4" s="66"/>
      <c r="N4" s="66"/>
      <c r="O4" s="66"/>
      <c r="P4" s="66"/>
      <c r="Q4" s="66"/>
      <c r="R4" s="66"/>
      <c r="S4" s="66"/>
      <c r="T4" s="66"/>
      <c r="U4" s="66"/>
      <c r="V4" s="66"/>
      <c r="W4" s="66"/>
      <c r="X4" s="66"/>
      <c r="Y4" s="66"/>
      <c r="Z4" s="66"/>
    </row>
    <row r="5" ht="14.25" customHeight="1">
      <c r="A5" s="67" t="s">
        <v>1383</v>
      </c>
      <c r="B5" s="67" t="s">
        <v>1386</v>
      </c>
      <c r="C5" s="66"/>
      <c r="D5" s="66"/>
      <c r="E5" s="66"/>
      <c r="F5" s="66"/>
      <c r="G5" s="66"/>
      <c r="H5" s="66"/>
      <c r="I5" s="66"/>
      <c r="J5" s="66"/>
      <c r="K5" s="66"/>
      <c r="L5" s="66"/>
      <c r="M5" s="66"/>
      <c r="N5" s="66"/>
      <c r="O5" s="66"/>
      <c r="P5" s="66"/>
      <c r="Q5" s="66"/>
      <c r="R5" s="66"/>
      <c r="S5" s="66"/>
      <c r="T5" s="66"/>
      <c r="U5" s="66"/>
      <c r="V5" s="66"/>
      <c r="W5" s="66"/>
      <c r="X5" s="66"/>
      <c r="Y5" s="66"/>
      <c r="Z5" s="66"/>
    </row>
    <row r="6" ht="14.25" customHeight="1">
      <c r="A6" s="67" t="s">
        <v>1394</v>
      </c>
      <c r="B6" s="67" t="s">
        <v>1397</v>
      </c>
      <c r="C6" s="66"/>
      <c r="D6" s="66"/>
      <c r="E6" s="66"/>
      <c r="F6" s="66"/>
      <c r="G6" s="66"/>
      <c r="H6" s="66"/>
      <c r="I6" s="66"/>
      <c r="J6" s="66"/>
      <c r="K6" s="66"/>
      <c r="L6" s="66"/>
      <c r="M6" s="66"/>
      <c r="N6" s="66"/>
      <c r="O6" s="66"/>
      <c r="P6" s="66"/>
      <c r="Q6" s="66"/>
      <c r="R6" s="66"/>
      <c r="S6" s="66"/>
      <c r="T6" s="66"/>
      <c r="U6" s="66"/>
      <c r="V6" s="66"/>
      <c r="W6" s="66"/>
      <c r="X6" s="66"/>
      <c r="Y6" s="66"/>
      <c r="Z6" s="66"/>
    </row>
    <row r="7" ht="14.25" customHeight="1">
      <c r="A7" s="67" t="s">
        <v>1401</v>
      </c>
      <c r="B7" s="67" t="s">
        <v>1402</v>
      </c>
      <c r="C7" s="66"/>
      <c r="D7" s="66"/>
      <c r="E7" s="66"/>
      <c r="F7" s="66"/>
      <c r="G7" s="66"/>
      <c r="H7" s="66"/>
      <c r="I7" s="66"/>
      <c r="J7" s="66"/>
      <c r="K7" s="66"/>
      <c r="L7" s="66"/>
      <c r="M7" s="66"/>
      <c r="N7" s="66"/>
      <c r="O7" s="66"/>
      <c r="P7" s="66"/>
      <c r="Q7" s="66"/>
      <c r="R7" s="66"/>
      <c r="S7" s="66"/>
      <c r="T7" s="66"/>
      <c r="U7" s="66"/>
      <c r="V7" s="66"/>
      <c r="W7" s="66"/>
      <c r="X7" s="66"/>
      <c r="Y7" s="66"/>
      <c r="Z7" s="66"/>
    </row>
    <row r="8" ht="14.25" customHeight="1">
      <c r="A8" s="67" t="s">
        <v>1410</v>
      </c>
      <c r="B8" s="67" t="s">
        <v>1412</v>
      </c>
      <c r="C8" s="66"/>
      <c r="D8" s="66"/>
      <c r="E8" s="66"/>
      <c r="F8" s="66"/>
      <c r="G8" s="66"/>
      <c r="H8" s="66"/>
      <c r="I8" s="66"/>
      <c r="J8" s="66"/>
      <c r="K8" s="66"/>
      <c r="L8" s="66"/>
      <c r="M8" s="66"/>
      <c r="N8" s="66"/>
      <c r="O8" s="66"/>
      <c r="P8" s="66"/>
      <c r="Q8" s="66"/>
      <c r="R8" s="66"/>
      <c r="S8" s="66"/>
      <c r="T8" s="66"/>
      <c r="U8" s="66"/>
      <c r="V8" s="66"/>
      <c r="W8" s="66"/>
      <c r="X8" s="66"/>
      <c r="Y8" s="66"/>
      <c r="Z8" s="66"/>
    </row>
    <row r="9" ht="14.25" customHeight="1">
      <c r="A9" s="67" t="s">
        <v>1422</v>
      </c>
      <c r="B9" s="67" t="s">
        <v>1425</v>
      </c>
      <c r="C9" s="66"/>
      <c r="D9" s="66"/>
      <c r="E9" s="66"/>
      <c r="F9" s="66"/>
      <c r="G9" s="66"/>
      <c r="H9" s="66"/>
      <c r="I9" s="66"/>
      <c r="J9" s="66"/>
      <c r="K9" s="66"/>
      <c r="L9" s="66"/>
      <c r="M9" s="66"/>
      <c r="N9" s="66"/>
      <c r="O9" s="66"/>
      <c r="P9" s="66"/>
      <c r="Q9" s="66"/>
      <c r="R9" s="66"/>
      <c r="S9" s="66"/>
      <c r="T9" s="66"/>
      <c r="U9" s="66"/>
      <c r="V9" s="66"/>
      <c r="W9" s="66"/>
      <c r="X9" s="66"/>
      <c r="Y9" s="66"/>
      <c r="Z9" s="66"/>
    </row>
    <row r="10" ht="14.25" customHeight="1">
      <c r="A10" s="67" t="s">
        <v>1432</v>
      </c>
      <c r="B10" s="67" t="s">
        <v>1433</v>
      </c>
      <c r="C10" s="66"/>
      <c r="D10" s="66"/>
      <c r="E10" s="66"/>
      <c r="F10" s="66"/>
      <c r="G10" s="66"/>
      <c r="H10" s="66"/>
      <c r="I10" s="66"/>
      <c r="J10" s="66"/>
      <c r="K10" s="66"/>
      <c r="L10" s="66"/>
      <c r="M10" s="66"/>
      <c r="N10" s="66"/>
      <c r="O10" s="66"/>
      <c r="P10" s="66"/>
      <c r="Q10" s="66"/>
      <c r="R10" s="66"/>
      <c r="S10" s="66"/>
      <c r="T10" s="66"/>
      <c r="U10" s="66"/>
      <c r="V10" s="66"/>
      <c r="W10" s="66"/>
      <c r="X10" s="66"/>
      <c r="Y10" s="66"/>
      <c r="Z10" s="66"/>
    </row>
    <row r="11" ht="14.25" customHeight="1">
      <c r="A11" s="67" t="s">
        <v>1438</v>
      </c>
      <c r="B11" s="67" t="s">
        <v>1441</v>
      </c>
      <c r="C11" s="66"/>
      <c r="D11" s="66"/>
      <c r="E11" s="66"/>
      <c r="F11" s="66"/>
      <c r="G11" s="66"/>
      <c r="H11" s="66"/>
      <c r="I11" s="66"/>
      <c r="J11" s="66"/>
      <c r="K11" s="66"/>
      <c r="L11" s="66"/>
      <c r="M11" s="66"/>
      <c r="N11" s="66"/>
      <c r="O11" s="66"/>
      <c r="P11" s="66"/>
      <c r="Q11" s="66"/>
      <c r="R11" s="66"/>
      <c r="S11" s="66"/>
      <c r="T11" s="66"/>
      <c r="U11" s="66"/>
      <c r="V11" s="66"/>
      <c r="W11" s="66"/>
      <c r="X11" s="66"/>
      <c r="Y11" s="66"/>
      <c r="Z11" s="66"/>
    </row>
    <row r="12" ht="14.25" customHeight="1">
      <c r="A12" s="66"/>
      <c r="B12" s="66"/>
      <c r="C12" s="66"/>
      <c r="D12" s="66"/>
      <c r="E12" s="66"/>
      <c r="F12" s="66"/>
      <c r="G12" s="66"/>
      <c r="H12" s="66"/>
      <c r="I12" s="66"/>
      <c r="J12" s="66"/>
      <c r="K12" s="66"/>
      <c r="L12" s="66"/>
      <c r="M12" s="66"/>
      <c r="N12" s="66"/>
      <c r="O12" s="66"/>
      <c r="P12" s="66"/>
      <c r="Q12" s="66"/>
      <c r="R12" s="66"/>
      <c r="S12" s="66"/>
      <c r="T12" s="66"/>
      <c r="U12" s="66"/>
      <c r="V12" s="66"/>
      <c r="W12" s="66"/>
      <c r="X12" s="66"/>
      <c r="Y12" s="66"/>
      <c r="Z12" s="66"/>
    </row>
    <row r="13" ht="14.25" customHeight="1">
      <c r="A13" s="68" t="s">
        <v>1453</v>
      </c>
      <c r="B13" s="66"/>
      <c r="C13" s="66"/>
      <c r="D13" s="66"/>
      <c r="E13" s="66"/>
      <c r="F13" s="66"/>
      <c r="G13" s="66"/>
      <c r="H13" s="66"/>
      <c r="I13" s="66"/>
      <c r="J13" s="66"/>
      <c r="K13" s="66"/>
      <c r="L13" s="66"/>
      <c r="M13" s="66"/>
      <c r="N13" s="66"/>
      <c r="O13" s="66"/>
      <c r="P13" s="66"/>
      <c r="Q13" s="66"/>
      <c r="R13" s="66"/>
      <c r="S13" s="66"/>
      <c r="T13" s="66"/>
      <c r="U13" s="66"/>
      <c r="V13" s="66"/>
      <c r="W13" s="66"/>
      <c r="X13" s="66"/>
      <c r="Y13" s="66"/>
      <c r="Z13" s="66"/>
    </row>
    <row r="14" ht="14.25" customHeight="1">
      <c r="A14" s="68" t="s">
        <v>1460</v>
      </c>
      <c r="B14" s="68" t="s">
        <v>1461</v>
      </c>
      <c r="C14" s="66"/>
      <c r="D14" s="66"/>
      <c r="E14" s="66"/>
      <c r="F14" s="66"/>
      <c r="G14" s="66"/>
      <c r="H14" s="66"/>
      <c r="I14" s="66"/>
      <c r="J14" s="66"/>
      <c r="K14" s="66"/>
      <c r="L14" s="66"/>
      <c r="M14" s="66"/>
      <c r="N14" s="66"/>
      <c r="O14" s="66"/>
      <c r="P14" s="66"/>
      <c r="Q14" s="66"/>
      <c r="R14" s="66"/>
      <c r="S14" s="66"/>
      <c r="T14" s="66"/>
      <c r="U14" s="66"/>
      <c r="V14" s="66"/>
      <c r="W14" s="66"/>
      <c r="X14" s="66"/>
      <c r="Y14" s="66"/>
      <c r="Z14" s="66"/>
    </row>
    <row r="15" ht="14.25" customHeight="1">
      <c r="A15" s="67" t="s">
        <v>1465</v>
      </c>
      <c r="B15" s="67" t="s">
        <v>1467</v>
      </c>
      <c r="C15" s="66"/>
      <c r="D15" s="66"/>
      <c r="E15" s="66"/>
      <c r="F15" s="66"/>
      <c r="G15" s="66"/>
      <c r="H15" s="66"/>
      <c r="I15" s="66"/>
      <c r="J15" s="66"/>
      <c r="K15" s="66"/>
      <c r="L15" s="66"/>
      <c r="M15" s="66"/>
      <c r="N15" s="66"/>
      <c r="O15" s="66"/>
      <c r="P15" s="66"/>
      <c r="Q15" s="66"/>
      <c r="R15" s="66"/>
      <c r="S15" s="66"/>
      <c r="T15" s="66"/>
      <c r="U15" s="66"/>
      <c r="V15" s="66"/>
      <c r="W15" s="66"/>
      <c r="X15" s="66"/>
      <c r="Y15" s="66"/>
      <c r="Z15" s="66"/>
    </row>
    <row r="16" ht="14.25" customHeight="1">
      <c r="A16" s="67" t="s">
        <v>1471</v>
      </c>
      <c r="B16" s="67" t="s">
        <v>1474</v>
      </c>
      <c r="C16" s="66"/>
      <c r="D16" s="66"/>
      <c r="E16" s="66"/>
      <c r="F16" s="66"/>
      <c r="G16" s="66"/>
      <c r="H16" s="66"/>
      <c r="I16" s="66"/>
      <c r="J16" s="66"/>
      <c r="K16" s="66"/>
      <c r="L16" s="66"/>
      <c r="M16" s="66"/>
      <c r="N16" s="66"/>
      <c r="O16" s="66"/>
      <c r="P16" s="66"/>
      <c r="Q16" s="66"/>
      <c r="R16" s="66"/>
      <c r="S16" s="66"/>
      <c r="T16" s="66"/>
      <c r="U16" s="66"/>
      <c r="V16" s="66"/>
      <c r="W16" s="66"/>
      <c r="X16" s="66"/>
      <c r="Y16" s="66"/>
      <c r="Z16" s="66"/>
    </row>
    <row r="17" ht="14.25" customHeight="1">
      <c r="A17" s="67" t="s">
        <v>1481</v>
      </c>
      <c r="B17" s="67" t="s">
        <v>1483</v>
      </c>
      <c r="C17" s="66"/>
      <c r="D17" s="66"/>
      <c r="E17" s="66"/>
      <c r="F17" s="66"/>
      <c r="G17" s="66"/>
      <c r="H17" s="66"/>
      <c r="I17" s="66"/>
      <c r="J17" s="66"/>
      <c r="K17" s="66"/>
      <c r="L17" s="66"/>
      <c r="M17" s="66"/>
      <c r="N17" s="66"/>
      <c r="O17" s="66"/>
      <c r="P17" s="66"/>
      <c r="Q17" s="66"/>
      <c r="R17" s="66"/>
      <c r="S17" s="66"/>
      <c r="T17" s="66"/>
      <c r="U17" s="66"/>
      <c r="V17" s="66"/>
      <c r="W17" s="66"/>
      <c r="X17" s="66"/>
      <c r="Y17" s="66"/>
      <c r="Z17" s="66"/>
    </row>
    <row r="18" ht="14.25" customHeight="1">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ht="14.25" customHeight="1">
      <c r="A19" s="68" t="s">
        <v>1495</v>
      </c>
      <c r="B19" s="66"/>
      <c r="C19" s="66"/>
      <c r="D19" s="66"/>
      <c r="E19" s="66"/>
      <c r="F19" s="66"/>
      <c r="G19" s="66"/>
      <c r="H19" s="66"/>
      <c r="I19" s="66"/>
      <c r="J19" s="66"/>
      <c r="K19" s="66"/>
      <c r="L19" s="66"/>
      <c r="M19" s="66"/>
      <c r="N19" s="66"/>
      <c r="O19" s="66"/>
      <c r="P19" s="66"/>
      <c r="Q19" s="66"/>
      <c r="R19" s="66"/>
      <c r="S19" s="66"/>
      <c r="T19" s="66"/>
      <c r="U19" s="66"/>
      <c r="V19" s="66"/>
      <c r="W19" s="66"/>
      <c r="X19" s="66"/>
      <c r="Y19" s="66"/>
      <c r="Z19" s="66"/>
    </row>
    <row r="20" ht="14.25" customHeight="1">
      <c r="A20" s="68" t="s">
        <v>1508</v>
      </c>
      <c r="B20" s="68" t="s">
        <v>1510</v>
      </c>
      <c r="C20" s="68" t="s">
        <v>1511</v>
      </c>
      <c r="D20" s="68" t="s">
        <v>1513</v>
      </c>
      <c r="E20" s="68" t="s">
        <v>1516</v>
      </c>
      <c r="F20" s="68" t="s">
        <v>1518</v>
      </c>
      <c r="G20" s="68" t="s">
        <v>1520</v>
      </c>
      <c r="H20" s="68" t="s">
        <v>1522</v>
      </c>
      <c r="I20" s="66"/>
      <c r="J20" s="66"/>
      <c r="K20" s="66"/>
      <c r="L20" s="66"/>
      <c r="M20" s="66"/>
      <c r="N20" s="66"/>
      <c r="O20" s="66"/>
      <c r="P20" s="66"/>
      <c r="Q20" s="66"/>
      <c r="R20" s="66"/>
      <c r="S20" s="66"/>
      <c r="T20" s="66"/>
      <c r="U20" s="66"/>
      <c r="V20" s="66"/>
      <c r="W20" s="66"/>
      <c r="X20" s="66"/>
      <c r="Y20" s="66"/>
      <c r="Z20" s="66"/>
    </row>
    <row r="21" ht="14.25" customHeight="1">
      <c r="A21" s="67" t="s">
        <v>1528</v>
      </c>
      <c r="B21" s="67" t="s">
        <v>1529</v>
      </c>
      <c r="C21" s="67" t="s">
        <v>1530</v>
      </c>
      <c r="D21" s="67" t="s">
        <v>1532</v>
      </c>
      <c r="E21" s="67" t="s">
        <v>1535</v>
      </c>
      <c r="F21" s="67" t="s">
        <v>1536</v>
      </c>
      <c r="G21" s="67" t="s">
        <v>1537</v>
      </c>
      <c r="H21" s="69" t="str">
        <f>HYPERLINK("https://notebooklm.google.com","https://notebooklm.google.com")</f>
        <v>https://notebooklm.google.com</v>
      </c>
      <c r="I21" s="66"/>
      <c r="J21" s="66"/>
      <c r="K21" s="66"/>
      <c r="L21" s="66"/>
      <c r="M21" s="66"/>
      <c r="N21" s="66"/>
      <c r="O21" s="66"/>
      <c r="P21" s="66"/>
      <c r="Q21" s="66"/>
      <c r="R21" s="66"/>
      <c r="S21" s="66"/>
      <c r="T21" s="66"/>
      <c r="U21" s="66"/>
      <c r="V21" s="66"/>
      <c r="W21" s="66"/>
      <c r="X21" s="66"/>
      <c r="Y21" s="66"/>
      <c r="Z21" s="66"/>
    </row>
    <row r="22" ht="14.25" customHeight="1">
      <c r="A22" s="67" t="s">
        <v>1558</v>
      </c>
      <c r="B22" s="67" t="s">
        <v>1529</v>
      </c>
      <c r="C22" s="67" t="s">
        <v>1530</v>
      </c>
      <c r="D22" s="67" t="s">
        <v>1560</v>
      </c>
      <c r="E22" s="67" t="s">
        <v>1535</v>
      </c>
      <c r="F22" s="67" t="s">
        <v>1562</v>
      </c>
      <c r="G22" s="67" t="s">
        <v>1565</v>
      </c>
      <c r="H22" s="69" t="str">
        <f>HYPERLINK("https://gemini.google.com","https://gemini.google.com")</f>
        <v>https://gemini.google.com</v>
      </c>
      <c r="I22" s="66"/>
      <c r="J22" s="66"/>
      <c r="K22" s="66"/>
      <c r="L22" s="66"/>
      <c r="M22" s="66"/>
      <c r="N22" s="66"/>
      <c r="O22" s="66"/>
      <c r="P22" s="66"/>
      <c r="Q22" s="66"/>
      <c r="R22" s="66"/>
      <c r="S22" s="66"/>
      <c r="T22" s="66"/>
      <c r="U22" s="66"/>
      <c r="V22" s="66"/>
      <c r="W22" s="66"/>
      <c r="X22" s="66"/>
      <c r="Y22" s="66"/>
      <c r="Z22" s="66"/>
    </row>
    <row r="23" ht="14.25" customHeight="1">
      <c r="A23" s="67" t="s">
        <v>1581</v>
      </c>
      <c r="B23" s="67" t="s">
        <v>1529</v>
      </c>
      <c r="C23" s="67" t="s">
        <v>1585</v>
      </c>
      <c r="D23" s="67" t="s">
        <v>1587</v>
      </c>
      <c r="E23" s="67" t="s">
        <v>1535</v>
      </c>
      <c r="F23" s="67" t="s">
        <v>1589</v>
      </c>
      <c r="G23" s="67" t="s">
        <v>1590</v>
      </c>
      <c r="H23" s="69" t="str">
        <f>HYPERLINK("https://teachablemachine.withgoogle.com","https://teachablemachine.withgoogle.com")</f>
        <v>https://teachablemachine.withgoogle.com</v>
      </c>
      <c r="I23" s="66"/>
      <c r="J23" s="66"/>
      <c r="K23" s="66"/>
      <c r="L23" s="66"/>
      <c r="M23" s="66"/>
      <c r="N23" s="66"/>
      <c r="O23" s="66"/>
      <c r="P23" s="66"/>
      <c r="Q23" s="66"/>
      <c r="R23" s="66"/>
      <c r="S23" s="66"/>
      <c r="T23" s="66"/>
      <c r="U23" s="66"/>
      <c r="V23" s="66"/>
      <c r="W23" s="66"/>
      <c r="X23" s="66"/>
      <c r="Y23" s="66"/>
      <c r="Z23" s="66"/>
    </row>
    <row r="24" ht="14.25" customHeight="1">
      <c r="A24" s="67" t="s">
        <v>1600</v>
      </c>
      <c r="B24" s="67" t="s">
        <v>1529</v>
      </c>
      <c r="C24" s="67" t="s">
        <v>1585</v>
      </c>
      <c r="D24" s="67" t="s">
        <v>1603</v>
      </c>
      <c r="E24" s="67" t="s">
        <v>1535</v>
      </c>
      <c r="F24" s="67" t="s">
        <v>1605</v>
      </c>
      <c r="G24" s="67" t="s">
        <v>1607</v>
      </c>
      <c r="H24" s="69" t="str">
        <f>HYPERLINK("https://climatetrace.org","https://climatetrace.org")</f>
        <v>https://climatetrace.org</v>
      </c>
      <c r="I24" s="66"/>
      <c r="J24" s="66"/>
      <c r="K24" s="66"/>
      <c r="L24" s="66"/>
      <c r="M24" s="66"/>
      <c r="N24" s="66"/>
      <c r="O24" s="66"/>
      <c r="P24" s="66"/>
      <c r="Q24" s="66"/>
      <c r="R24" s="66"/>
      <c r="S24" s="66"/>
      <c r="T24" s="66"/>
      <c r="U24" s="66"/>
      <c r="V24" s="66"/>
      <c r="W24" s="66"/>
      <c r="X24" s="66"/>
      <c r="Y24" s="66"/>
      <c r="Z24" s="66"/>
    </row>
    <row r="25" ht="14.25" customHeight="1">
      <c r="A25" s="67" t="s">
        <v>1620</v>
      </c>
      <c r="B25" s="67" t="s">
        <v>1529</v>
      </c>
      <c r="C25" s="67" t="s">
        <v>1623</v>
      </c>
      <c r="D25" s="67" t="s">
        <v>1624</v>
      </c>
      <c r="E25" s="67" t="s">
        <v>1625</v>
      </c>
      <c r="F25" s="67" t="s">
        <v>1628</v>
      </c>
      <c r="G25" s="67" t="s">
        <v>1629</v>
      </c>
      <c r="H25" s="69" t="str">
        <f>HYPERLINK("https://plantnet.org","https://plantnet.org")</f>
        <v>https://plantnet.org</v>
      </c>
      <c r="I25" s="66"/>
      <c r="J25" s="66"/>
      <c r="K25" s="66"/>
      <c r="L25" s="66"/>
      <c r="M25" s="66"/>
      <c r="N25" s="66"/>
      <c r="O25" s="66"/>
      <c r="P25" s="66"/>
      <c r="Q25" s="66"/>
      <c r="R25" s="66"/>
      <c r="S25" s="66"/>
      <c r="T25" s="66"/>
      <c r="U25" s="66"/>
      <c r="V25" s="66"/>
      <c r="W25" s="66"/>
      <c r="X25" s="66"/>
      <c r="Y25" s="66"/>
      <c r="Z25" s="66"/>
    </row>
    <row r="26" ht="14.25" customHeight="1">
      <c r="A26" s="67" t="s">
        <v>1641</v>
      </c>
      <c r="B26" s="67" t="s">
        <v>1529</v>
      </c>
      <c r="C26" s="67" t="s">
        <v>1585</v>
      </c>
      <c r="D26" s="67" t="s">
        <v>1642</v>
      </c>
      <c r="E26" s="67" t="s">
        <v>1535</v>
      </c>
      <c r="F26" s="67" t="s">
        <v>1644</v>
      </c>
      <c r="G26" s="67"/>
      <c r="H26" s="69" t="str">
        <f>HYPERLINK("https://globalnaturewatch.org/dashboards/country/SLV/","https://globalnaturewatch.org/dashboards/country/SLV/")</f>
        <v>https://globalnaturewatch.org/dashboards/country/SLV/</v>
      </c>
      <c r="I26" s="66"/>
      <c r="J26" s="66"/>
      <c r="K26" s="66"/>
      <c r="L26" s="66"/>
      <c r="M26" s="66"/>
      <c r="N26" s="66"/>
      <c r="O26" s="66"/>
      <c r="P26" s="66"/>
      <c r="Q26" s="66"/>
      <c r="R26" s="66"/>
      <c r="S26" s="66"/>
      <c r="T26" s="66"/>
      <c r="U26" s="66"/>
      <c r="V26" s="66"/>
      <c r="W26" s="66"/>
      <c r="X26" s="66"/>
      <c r="Y26" s="66"/>
      <c r="Z26" s="66"/>
    </row>
    <row r="27" ht="14.25" customHeight="1">
      <c r="A27" s="67" t="s">
        <v>1656</v>
      </c>
      <c r="B27" s="67" t="s">
        <v>1529</v>
      </c>
      <c r="C27" s="67" t="s">
        <v>1585</v>
      </c>
      <c r="D27" s="67" t="s">
        <v>1603</v>
      </c>
      <c r="E27" s="67" t="s">
        <v>1535</v>
      </c>
      <c r="F27" s="67" t="s">
        <v>1658</v>
      </c>
      <c r="G27" s="67"/>
      <c r="H27" s="69" t="str">
        <f>HYPERLINK("https://sites.research.google/floods/","https://sites.research.google/floods/")</f>
        <v>https://sites.research.google/floods/</v>
      </c>
      <c r="I27" s="66"/>
      <c r="J27" s="66"/>
      <c r="K27" s="66"/>
      <c r="L27" s="66"/>
      <c r="M27" s="66"/>
      <c r="N27" s="66"/>
      <c r="O27" s="66"/>
      <c r="P27" s="66"/>
      <c r="Q27" s="66"/>
      <c r="R27" s="66"/>
      <c r="S27" s="66"/>
      <c r="T27" s="66"/>
      <c r="U27" s="66"/>
      <c r="V27" s="66"/>
      <c r="W27" s="66"/>
      <c r="X27" s="66"/>
      <c r="Y27" s="66"/>
      <c r="Z27" s="66"/>
    </row>
    <row r="28" ht="14.25" customHeight="1">
      <c r="A28" s="67" t="s">
        <v>1673</v>
      </c>
      <c r="B28" s="67" t="s">
        <v>1529</v>
      </c>
      <c r="C28" s="67" t="s">
        <v>1585</v>
      </c>
      <c r="D28" s="67" t="s">
        <v>1674</v>
      </c>
      <c r="E28" s="67" t="s">
        <v>1535</v>
      </c>
      <c r="F28" s="67" t="s">
        <v>1675</v>
      </c>
      <c r="G28" s="67"/>
      <c r="H28" s="69" t="str">
        <f>HYPERLINK("https://www.inaturalist.org/pages/seek_app","https://www.inaturalist.org/pages/seek_app")</f>
        <v>https://www.inaturalist.org/pages/seek_app</v>
      </c>
      <c r="I28" s="66"/>
      <c r="J28" s="66"/>
      <c r="K28" s="66"/>
      <c r="L28" s="66"/>
      <c r="M28" s="66"/>
      <c r="N28" s="66"/>
      <c r="O28" s="66"/>
      <c r="P28" s="66"/>
      <c r="Q28" s="66"/>
      <c r="R28" s="66"/>
      <c r="S28" s="66"/>
      <c r="T28" s="66"/>
      <c r="U28" s="66"/>
      <c r="V28" s="66"/>
      <c r="W28" s="66"/>
      <c r="X28" s="66"/>
      <c r="Y28" s="66"/>
      <c r="Z28" s="66"/>
    </row>
    <row r="29" ht="14.25" customHeight="1">
      <c r="A29" s="67" t="s">
        <v>1682</v>
      </c>
      <c r="B29" s="67" t="s">
        <v>1529</v>
      </c>
      <c r="C29" s="67" t="s">
        <v>1685</v>
      </c>
      <c r="D29" s="67" t="s">
        <v>1686</v>
      </c>
      <c r="E29" s="67" t="s">
        <v>1687</v>
      </c>
      <c r="F29" s="67" t="s">
        <v>1688</v>
      </c>
      <c r="G29" s="67" t="s">
        <v>1693</v>
      </c>
      <c r="H29" s="69" t="str">
        <f>HYPERLINK("https://phet.colorado.edu/es","https://phet.colorado.edu/es")</f>
        <v>https://phet.colorado.edu/es</v>
      </c>
      <c r="I29" s="66"/>
      <c r="J29" s="66"/>
      <c r="K29" s="66"/>
      <c r="L29" s="66"/>
      <c r="M29" s="66"/>
      <c r="N29" s="66"/>
      <c r="O29" s="66"/>
      <c r="P29" s="66"/>
      <c r="Q29" s="66"/>
      <c r="R29" s="66"/>
      <c r="S29" s="66"/>
      <c r="T29" s="66"/>
      <c r="U29" s="66"/>
      <c r="V29" s="66"/>
      <c r="W29" s="66"/>
      <c r="X29" s="66"/>
      <c r="Y29" s="66"/>
      <c r="Z29" s="66"/>
    </row>
    <row r="30" ht="14.25" customHeight="1">
      <c r="A30" s="67" t="s">
        <v>1703</v>
      </c>
      <c r="B30" s="67" t="s">
        <v>1704</v>
      </c>
      <c r="C30" s="67" t="s">
        <v>1706</v>
      </c>
      <c r="D30" s="67" t="s">
        <v>1707</v>
      </c>
      <c r="E30" s="67" t="s">
        <v>1535</v>
      </c>
      <c r="F30" s="67" t="s">
        <v>1708</v>
      </c>
      <c r="G30" s="67" t="s">
        <v>1704</v>
      </c>
      <c r="H30" s="69" t="str">
        <f>HYPERLINK("https://grok.com","https://grok.com")</f>
        <v>https://grok.com</v>
      </c>
      <c r="I30" s="66"/>
      <c r="J30" s="66"/>
      <c r="K30" s="66"/>
      <c r="L30" s="66"/>
      <c r="M30" s="66"/>
      <c r="N30" s="66"/>
      <c r="O30" s="66"/>
      <c r="P30" s="66"/>
      <c r="Q30" s="66"/>
      <c r="R30" s="66"/>
      <c r="S30" s="66"/>
      <c r="T30" s="66"/>
      <c r="U30" s="66"/>
      <c r="V30" s="66"/>
      <c r="W30" s="66"/>
      <c r="X30" s="66"/>
      <c r="Y30" s="66"/>
      <c r="Z30" s="66"/>
    </row>
    <row r="31" ht="14.25" customHeight="1">
      <c r="A31" s="67" t="s">
        <v>1722</v>
      </c>
      <c r="B31" s="67" t="s">
        <v>1724</v>
      </c>
      <c r="C31" s="67" t="s">
        <v>1726</v>
      </c>
      <c r="D31" s="67" t="s">
        <v>1727</v>
      </c>
      <c r="E31" s="67" t="s">
        <v>1535</v>
      </c>
      <c r="F31" s="67" t="s">
        <v>1729</v>
      </c>
      <c r="G31" s="67" t="s">
        <v>1686</v>
      </c>
      <c r="H31" s="69" t="str">
        <f>HYPERLINK("https://copilot.microsoft.com","https://copilot.microsoft.com")</f>
        <v>https://copilot.microsoft.com</v>
      </c>
      <c r="I31" s="66"/>
      <c r="J31" s="66"/>
      <c r="K31" s="66"/>
      <c r="L31" s="66"/>
      <c r="M31" s="66"/>
      <c r="N31" s="66"/>
      <c r="O31" s="66"/>
      <c r="P31" s="66"/>
      <c r="Q31" s="66"/>
      <c r="R31" s="66"/>
      <c r="S31" s="66"/>
      <c r="T31" s="66"/>
      <c r="U31" s="66"/>
      <c r="V31" s="66"/>
      <c r="W31" s="66"/>
      <c r="X31" s="66"/>
      <c r="Y31" s="66"/>
      <c r="Z31" s="66"/>
    </row>
    <row r="32" ht="14.25" customHeight="1">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ht="14.25" customHeight="1">
      <c r="A33" s="68" t="s">
        <v>1748</v>
      </c>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ht="14.25" customHeight="1">
      <c r="A34" s="67" t="s">
        <v>1755</v>
      </c>
      <c r="B34" s="69" t="str">
        <f>HYPERLINK("https://www.anda.gob.sv","https://www.anda.gob.sv")</f>
        <v>https://www.anda.gob.sv</v>
      </c>
      <c r="C34" s="66"/>
      <c r="D34" s="66"/>
      <c r="E34" s="66"/>
      <c r="F34" s="66"/>
      <c r="G34" s="66"/>
      <c r="H34" s="66"/>
      <c r="I34" s="66"/>
      <c r="J34" s="66"/>
      <c r="K34" s="66"/>
      <c r="L34" s="66"/>
      <c r="M34" s="66"/>
      <c r="N34" s="66"/>
      <c r="O34" s="66"/>
      <c r="P34" s="66"/>
      <c r="Q34" s="66"/>
      <c r="R34" s="66"/>
      <c r="S34" s="66"/>
      <c r="T34" s="66"/>
      <c r="U34" s="66"/>
      <c r="V34" s="66"/>
      <c r="W34" s="66"/>
      <c r="X34" s="66"/>
      <c r="Y34" s="66"/>
      <c r="Z34" s="66"/>
    </row>
    <row r="35" ht="14.25" customHeight="1">
      <c r="A35" s="67" t="s">
        <v>1771</v>
      </c>
      <c r="B35" s="69" t="str">
        <f>HYPERLINK("https://www.cel.gob.sv","https://www.cel.gob.sv")</f>
        <v>https://www.cel.gob.sv</v>
      </c>
      <c r="C35" s="66"/>
      <c r="D35" s="66"/>
      <c r="E35" s="66"/>
      <c r="F35" s="66"/>
      <c r="G35" s="66"/>
      <c r="H35" s="66"/>
      <c r="I35" s="66"/>
      <c r="J35" s="66"/>
      <c r="K35" s="66"/>
      <c r="L35" s="66"/>
      <c r="M35" s="66"/>
      <c r="N35" s="66"/>
      <c r="O35" s="66"/>
      <c r="P35" s="66"/>
      <c r="Q35" s="66"/>
      <c r="R35" s="66"/>
      <c r="S35" s="66"/>
      <c r="T35" s="66"/>
      <c r="U35" s="66"/>
      <c r="V35" s="66"/>
      <c r="W35" s="66"/>
      <c r="X35" s="66"/>
      <c r="Y35" s="66"/>
      <c r="Z35" s="66"/>
    </row>
    <row r="36" ht="14.25" customHeight="1">
      <c r="A36" s="67" t="s">
        <v>1790</v>
      </c>
      <c r="B36" s="69" t="str">
        <f>HYPERLINK("https://www.centa.gob.sv","https://www.centa.gob.sv")</f>
        <v>https://www.centa.gob.sv</v>
      </c>
      <c r="C36" s="66"/>
      <c r="D36" s="66"/>
      <c r="E36" s="66"/>
      <c r="F36" s="66"/>
      <c r="G36" s="66"/>
      <c r="H36" s="66"/>
      <c r="I36" s="66"/>
      <c r="J36" s="66"/>
      <c r="K36" s="66"/>
      <c r="L36" s="66"/>
      <c r="M36" s="66"/>
      <c r="N36" s="66"/>
      <c r="O36" s="66"/>
      <c r="P36" s="66"/>
      <c r="Q36" s="66"/>
      <c r="R36" s="66"/>
      <c r="S36" s="66"/>
      <c r="T36" s="66"/>
      <c r="U36" s="66"/>
      <c r="V36" s="66"/>
      <c r="W36" s="66"/>
      <c r="X36" s="66"/>
      <c r="Y36" s="66"/>
      <c r="Z36" s="66"/>
    </row>
    <row r="37" ht="14.25" customHeight="1">
      <c r="A37" s="67" t="s">
        <v>1803</v>
      </c>
      <c r="B37" s="69" t="str">
        <f>HYPERLINK("https://www.snet.gob.sv","https://www.snet.gob.sv")</f>
        <v>https://www.snet.gob.sv</v>
      </c>
      <c r="C37" s="66"/>
      <c r="D37" s="66"/>
      <c r="E37" s="66"/>
      <c r="F37" s="66"/>
      <c r="G37" s="66"/>
      <c r="H37" s="66"/>
      <c r="I37" s="66"/>
      <c r="J37" s="66"/>
      <c r="K37" s="66"/>
      <c r="L37" s="66"/>
      <c r="M37" s="66"/>
      <c r="N37" s="66"/>
      <c r="O37" s="66"/>
      <c r="P37" s="66"/>
      <c r="Q37" s="66"/>
      <c r="R37" s="66"/>
      <c r="S37" s="66"/>
      <c r="T37" s="66"/>
      <c r="U37" s="66"/>
      <c r="V37" s="66"/>
      <c r="W37" s="66"/>
      <c r="X37" s="66"/>
      <c r="Y37" s="66"/>
      <c r="Z37" s="66"/>
    </row>
    <row r="38" ht="14.25" customHeight="1">
      <c r="A38" s="67" t="s">
        <v>1818</v>
      </c>
      <c r="B38" s="69" t="str">
        <f>HYPERLINK("https://www.inaturalist.org","https://www.inaturalist.org")</f>
        <v>https://www.inaturalist.org</v>
      </c>
      <c r="C38" s="66"/>
      <c r="D38" s="66"/>
      <c r="E38" s="66"/>
      <c r="F38" s="66"/>
      <c r="G38" s="66"/>
      <c r="H38" s="66"/>
      <c r="I38" s="66"/>
      <c r="J38" s="66"/>
      <c r="K38" s="66"/>
      <c r="L38" s="66"/>
      <c r="M38" s="66"/>
      <c r="N38" s="66"/>
      <c r="O38" s="66"/>
      <c r="P38" s="66"/>
      <c r="Q38" s="66"/>
      <c r="R38" s="66"/>
      <c r="S38" s="66"/>
      <c r="T38" s="66"/>
      <c r="U38" s="66"/>
      <c r="V38" s="66"/>
      <c r="W38" s="66"/>
      <c r="X38" s="66"/>
      <c r="Y38" s="66"/>
      <c r="Z38" s="66"/>
    </row>
    <row r="39" ht="14.25" customHeight="1">
      <c r="A39" s="67" t="s">
        <v>1831</v>
      </c>
      <c r="B39" s="69" t="str">
        <f>HYPERLINK("https://www.marn.gob.sv","https://www.marn.gob.sv")</f>
        <v>https://www.marn.gob.sv</v>
      </c>
      <c r="C39" s="66"/>
      <c r="D39" s="66"/>
      <c r="E39" s="66"/>
      <c r="F39" s="66"/>
      <c r="G39" s="66"/>
      <c r="H39" s="66"/>
      <c r="I39" s="66"/>
      <c r="J39" s="66"/>
      <c r="K39" s="66"/>
      <c r="L39" s="66"/>
      <c r="M39" s="66"/>
      <c r="N39" s="66"/>
      <c r="O39" s="66"/>
      <c r="P39" s="66"/>
      <c r="Q39" s="66"/>
      <c r="R39" s="66"/>
      <c r="S39" s="66"/>
      <c r="T39" s="66"/>
      <c r="U39" s="66"/>
      <c r="V39" s="66"/>
      <c r="W39" s="66"/>
      <c r="X39" s="66"/>
      <c r="Y39" s="66"/>
      <c r="Z39" s="66"/>
    </row>
    <row r="40" ht="14.25" customHeight="1">
      <c r="A40" s="67" t="s">
        <v>1840</v>
      </c>
      <c r="B40" s="69" t="str">
        <f>HYPERLINK("https://www.salud.gob.sv","https://www.salud.gob.sv")</f>
        <v>https://www.salud.gob.sv</v>
      </c>
      <c r="C40" s="66"/>
      <c r="D40" s="66"/>
      <c r="E40" s="66"/>
      <c r="F40" s="66"/>
      <c r="G40" s="66"/>
      <c r="H40" s="66"/>
      <c r="I40" s="66"/>
      <c r="J40" s="66"/>
      <c r="K40" s="66"/>
      <c r="L40" s="66"/>
      <c r="M40" s="66"/>
      <c r="N40" s="66"/>
      <c r="O40" s="66"/>
      <c r="P40" s="66"/>
      <c r="Q40" s="66"/>
      <c r="R40" s="66"/>
      <c r="S40" s="66"/>
      <c r="T40" s="66"/>
      <c r="U40" s="66"/>
      <c r="V40" s="66"/>
      <c r="W40" s="66"/>
      <c r="X40" s="66"/>
      <c r="Y40" s="66"/>
      <c r="Z40" s="66"/>
    </row>
    <row r="41" ht="14.25" customHeight="1">
      <c r="A41" s="67" t="s">
        <v>1859</v>
      </c>
      <c r="B41" s="69" t="str">
        <f>HYPERLINK("https://phet.colorado.edu/sims/html/acid-base-solutions/latest/acid-base-solutions_es.html","https://phet.colorado.edu/sims/html/acid-base-solutions/latest/acid-base-solutions_es.html")</f>
        <v>https://phet.colorado.edu/sims/html/acid-base-solutions/latest/acid-base-solutions_es.html</v>
      </c>
      <c r="C41" s="66"/>
      <c r="D41" s="66"/>
      <c r="E41" s="66"/>
      <c r="F41" s="66"/>
      <c r="G41" s="66"/>
      <c r="H41" s="66"/>
      <c r="I41" s="66"/>
      <c r="J41" s="66"/>
      <c r="K41" s="66"/>
      <c r="L41" s="66"/>
      <c r="M41" s="66"/>
      <c r="N41" s="66"/>
      <c r="O41" s="66"/>
      <c r="P41" s="66"/>
      <c r="Q41" s="66"/>
      <c r="R41" s="66"/>
      <c r="S41" s="66"/>
      <c r="T41" s="66"/>
      <c r="U41" s="66"/>
      <c r="V41" s="66"/>
      <c r="W41" s="66"/>
      <c r="X41" s="66"/>
      <c r="Y41" s="66"/>
      <c r="Z41" s="66"/>
    </row>
    <row r="42" ht="14.25" customHeight="1">
      <c r="A42" s="67" t="s">
        <v>1873</v>
      </c>
      <c r="B42" s="69" t="str">
        <f>HYPERLINK("https://phet.colorado.edu/sims/html/build-an-atom/latest/build-an-atom_es.html","https://phet.colorado.edu/sims/html/build-an-atom/latest/build-an-atom_es.html")</f>
        <v>https://phet.colorado.edu/sims/html/build-an-atom/latest/build-an-atom_es.html</v>
      </c>
      <c r="C42" s="66"/>
      <c r="D42" s="66"/>
      <c r="E42" s="66"/>
      <c r="F42" s="66"/>
      <c r="G42" s="66"/>
      <c r="H42" s="66"/>
      <c r="I42" s="66"/>
      <c r="J42" s="66"/>
      <c r="K42" s="66"/>
      <c r="L42" s="66"/>
      <c r="M42" s="66"/>
      <c r="N42" s="66"/>
      <c r="O42" s="66"/>
      <c r="P42" s="66"/>
      <c r="Q42" s="66"/>
      <c r="R42" s="66"/>
      <c r="S42" s="66"/>
      <c r="T42" s="66"/>
      <c r="U42" s="66"/>
      <c r="V42" s="66"/>
      <c r="W42" s="66"/>
      <c r="X42" s="66"/>
      <c r="Y42" s="66"/>
      <c r="Z42" s="66"/>
    </row>
    <row r="43" ht="14.25" customHeight="1">
      <c r="A43" s="67" t="s">
        <v>1888</v>
      </c>
      <c r="B43" s="69" t="str">
        <f>HYPERLINK("https://phet.colorado.edu/sims/html/balancing-chemical-equations/latest/balancing-chemical-equations_es.html","https://phet.colorado.edu/sims/html/balancing-chemical-equations/latest/balancing-chemical-equations_es.html")</f>
        <v>https://phet.colorado.edu/sims/html/balancing-chemical-equations/latest/balancing-chemical-equations_es.html</v>
      </c>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4.25" customHeight="1">
      <c r="A44" s="67" t="s">
        <v>1909</v>
      </c>
      <c r="B44" s="69" t="str">
        <f>HYPERLINK("https://phet.colorado.edu/sims/html/beers-law-lab/latest/beers-law-lab_es.html","https://phet.colorado.edu/sims/html/beers-law-lab/latest/beers-law-lab_es.html")</f>
        <v>https://phet.colorado.edu/sims/html/beers-law-lab/latest/beers-law-lab_es.html</v>
      </c>
      <c r="C44" s="66"/>
      <c r="D44" s="66"/>
      <c r="E44" s="66"/>
      <c r="F44" s="66"/>
      <c r="G44" s="66"/>
      <c r="H44" s="66"/>
      <c r="I44" s="66"/>
      <c r="J44" s="66"/>
      <c r="K44" s="66"/>
      <c r="L44" s="66"/>
      <c r="M44" s="66"/>
      <c r="N44" s="66"/>
      <c r="O44" s="66"/>
      <c r="P44" s="66"/>
      <c r="Q44" s="66"/>
      <c r="R44" s="66"/>
      <c r="S44" s="66"/>
      <c r="T44" s="66"/>
      <c r="U44" s="66"/>
      <c r="V44" s="66"/>
      <c r="W44" s="66"/>
      <c r="X44" s="66"/>
      <c r="Y44" s="66"/>
      <c r="Z44" s="66"/>
    </row>
    <row r="45" ht="14.25" customHeight="1">
      <c r="A45" s="67" t="s">
        <v>1916</v>
      </c>
      <c r="B45" s="69" t="str">
        <f>HYPERLINK("https://phet.colorado.edu/sims/html/charges-and-fields/latest/charges-and-fields_es.html","https://phet.colorado.edu/sims/html/charges-and-fields/latest/charges-and-fields_es.html")</f>
        <v>https://phet.colorado.edu/sims/html/charges-and-fields/latest/charges-and-fields_es.html</v>
      </c>
      <c r="C45" s="66"/>
      <c r="D45" s="66"/>
      <c r="E45" s="66"/>
      <c r="F45" s="66"/>
      <c r="G45" s="66"/>
      <c r="H45" s="66"/>
      <c r="I45" s="66"/>
      <c r="J45" s="66"/>
      <c r="K45" s="66"/>
      <c r="L45" s="66"/>
      <c r="M45" s="66"/>
      <c r="N45" s="66"/>
      <c r="O45" s="66"/>
      <c r="P45" s="66"/>
      <c r="Q45" s="66"/>
      <c r="R45" s="66"/>
      <c r="S45" s="66"/>
      <c r="T45" s="66"/>
      <c r="U45" s="66"/>
      <c r="V45" s="66"/>
      <c r="W45" s="66"/>
      <c r="X45" s="66"/>
      <c r="Y45" s="66"/>
      <c r="Z45" s="66"/>
    </row>
    <row r="46" ht="14.25" customHeight="1">
      <c r="A46" s="67" t="s">
        <v>1935</v>
      </c>
      <c r="B46" s="69" t="str">
        <f>HYPERLINK("https://phet.colorado.edu/sims/html/circuit-construction-kit-dc/latest/circuit-construction-kit-dc_es.html","https://phet.colorado.edu/sims/html/circuit-construction-kit-dc/latest/circuit-construction-kit-dc_es.html")</f>
        <v>https://phet.colorado.edu/sims/html/circuit-construction-kit-dc/latest/circuit-construction-kit-dc_es.html</v>
      </c>
      <c r="C46" s="66"/>
      <c r="D46" s="66"/>
      <c r="E46" s="66"/>
      <c r="F46" s="66"/>
      <c r="G46" s="66"/>
      <c r="H46" s="66"/>
      <c r="I46" s="66"/>
      <c r="J46" s="66"/>
      <c r="K46" s="66"/>
      <c r="L46" s="66"/>
      <c r="M46" s="66"/>
      <c r="N46" s="66"/>
      <c r="O46" s="66"/>
      <c r="P46" s="66"/>
      <c r="Q46" s="66"/>
      <c r="R46" s="66"/>
      <c r="S46" s="66"/>
      <c r="T46" s="66"/>
      <c r="U46" s="66"/>
      <c r="V46" s="66"/>
      <c r="W46" s="66"/>
      <c r="X46" s="66"/>
      <c r="Y46" s="66"/>
      <c r="Z46" s="66"/>
    </row>
    <row r="47" ht="14.25" customHeight="1">
      <c r="A47" s="67" t="s">
        <v>1960</v>
      </c>
      <c r="B47" s="69" t="str">
        <f>HYPERLINK("https://phet.colorado.edu/sims/html/color-vision/latest/color-vision_es.html","https://phet.colorado.edu/sims/html/color-vision/latest/color-vision_es.html")</f>
        <v>https://phet.colorado.edu/sims/html/color-vision/latest/color-vision_es.html</v>
      </c>
      <c r="C47" s="66"/>
      <c r="D47" s="66"/>
      <c r="E47" s="66"/>
      <c r="F47" s="66"/>
      <c r="G47" s="66"/>
      <c r="H47" s="66"/>
      <c r="I47" s="66"/>
      <c r="J47" s="66"/>
      <c r="K47" s="66"/>
      <c r="L47" s="66"/>
      <c r="M47" s="66"/>
      <c r="N47" s="66"/>
      <c r="O47" s="66"/>
      <c r="P47" s="66"/>
      <c r="Q47" s="66"/>
      <c r="R47" s="66"/>
      <c r="S47" s="66"/>
      <c r="T47" s="66"/>
      <c r="U47" s="66"/>
      <c r="V47" s="66"/>
      <c r="W47" s="66"/>
      <c r="X47" s="66"/>
      <c r="Y47" s="66"/>
      <c r="Z47" s="66"/>
    </row>
    <row r="48" ht="14.25" customHeight="1">
      <c r="A48" s="67" t="s">
        <v>1975</v>
      </c>
      <c r="B48" s="69" t="str">
        <f>HYPERLINK("https://phet.colorado.edu/sims/html/density/latest/density_es.html","https://phet.colorado.edu/sims/html/density/latest/density_es.html")</f>
        <v>https://phet.colorado.edu/sims/html/density/latest/density_es.html</v>
      </c>
      <c r="C48" s="66"/>
      <c r="D48" s="66"/>
      <c r="E48" s="66"/>
      <c r="F48" s="66"/>
      <c r="G48" s="66"/>
      <c r="H48" s="66"/>
      <c r="I48" s="66"/>
      <c r="J48" s="66"/>
      <c r="K48" s="66"/>
      <c r="L48" s="66"/>
      <c r="M48" s="66"/>
      <c r="N48" s="66"/>
      <c r="O48" s="66"/>
      <c r="P48" s="66"/>
      <c r="Q48" s="66"/>
      <c r="R48" s="66"/>
      <c r="S48" s="66"/>
      <c r="T48" s="66"/>
      <c r="U48" s="66"/>
      <c r="V48" s="66"/>
      <c r="W48" s="66"/>
      <c r="X48" s="66"/>
      <c r="Y48" s="66"/>
      <c r="Z48" s="66"/>
    </row>
    <row r="49" ht="14.25" customHeight="1">
      <c r="A49" s="67" t="s">
        <v>1995</v>
      </c>
      <c r="B49" s="69" t="str">
        <f>HYPERLINK("https://phet.colorado.edu/sims/html/diffusion/latest/diffusion_es.html","https://phet.colorado.edu/sims/html/diffusion/latest/diffusion_es.html")</f>
        <v>https://phet.colorado.edu/sims/html/diffusion/latest/diffusion_es.html</v>
      </c>
      <c r="C49" s="66"/>
      <c r="D49" s="66"/>
      <c r="E49" s="66"/>
      <c r="F49" s="66"/>
      <c r="G49" s="66"/>
      <c r="H49" s="66"/>
      <c r="I49" s="66"/>
      <c r="J49" s="66"/>
      <c r="K49" s="66"/>
      <c r="L49" s="66"/>
      <c r="M49" s="66"/>
      <c r="N49" s="66"/>
      <c r="O49" s="66"/>
      <c r="P49" s="66"/>
      <c r="Q49" s="66"/>
      <c r="R49" s="66"/>
      <c r="S49" s="66"/>
      <c r="T49" s="66"/>
      <c r="U49" s="66"/>
      <c r="V49" s="66"/>
      <c r="W49" s="66"/>
      <c r="X49" s="66"/>
      <c r="Y49" s="66"/>
      <c r="Z49" s="66"/>
    </row>
    <row r="50" ht="14.25" customHeight="1">
      <c r="A50" s="67" t="s">
        <v>2004</v>
      </c>
      <c r="B50" s="69" t="str">
        <f>HYPERLINK("https://phet.colorado.edu/sims/html/states-of-matter-basics/latest/states-of-matter-basics_es.html","https://phet.colorado.edu/sims/html/states-of-matter-basics/latest/states-of-matter-basics_es.html")</f>
        <v>https://phet.colorado.edu/sims/html/states-of-matter-basics/latest/states-of-matter-basics_es.html</v>
      </c>
      <c r="C50" s="66"/>
      <c r="D50" s="66"/>
      <c r="E50" s="66"/>
      <c r="F50" s="66"/>
      <c r="G50" s="66"/>
      <c r="H50" s="66"/>
      <c r="I50" s="66"/>
      <c r="J50" s="66"/>
      <c r="K50" s="66"/>
      <c r="L50" s="66"/>
      <c r="M50" s="66"/>
      <c r="N50" s="66"/>
      <c r="O50" s="66"/>
      <c r="P50" s="66"/>
      <c r="Q50" s="66"/>
      <c r="R50" s="66"/>
      <c r="S50" s="66"/>
      <c r="T50" s="66"/>
      <c r="U50" s="66"/>
      <c r="V50" s="66"/>
      <c r="W50" s="66"/>
      <c r="X50" s="66"/>
      <c r="Y50" s="66"/>
      <c r="Z50" s="66"/>
    </row>
    <row r="51" ht="14.25" customHeight="1">
      <c r="A51" s="67" t="s">
        <v>2022</v>
      </c>
      <c r="B51" s="69" t="str">
        <f>HYPERLINK("https://phet.colorado.edu/sims/html/molecule-shapes/latest/molecule-shapes_es.html","https://phet.colorado.edu/sims/html/molecule-shapes/latest/molecule-shapes_es.html")</f>
        <v>https://phet.colorado.edu/sims/html/molecule-shapes/latest/molecule-shapes_es.html</v>
      </c>
      <c r="C51" s="66"/>
      <c r="D51" s="66"/>
      <c r="E51" s="66"/>
      <c r="F51" s="66"/>
      <c r="G51" s="66"/>
      <c r="H51" s="66"/>
      <c r="I51" s="66"/>
      <c r="J51" s="66"/>
      <c r="K51" s="66"/>
      <c r="L51" s="66"/>
      <c r="M51" s="66"/>
      <c r="N51" s="66"/>
      <c r="O51" s="66"/>
      <c r="P51" s="66"/>
      <c r="Q51" s="66"/>
      <c r="R51" s="66"/>
      <c r="S51" s="66"/>
      <c r="T51" s="66"/>
      <c r="U51" s="66"/>
      <c r="V51" s="66"/>
      <c r="W51" s="66"/>
      <c r="X51" s="66"/>
      <c r="Y51" s="66"/>
      <c r="Z51" s="66"/>
    </row>
    <row r="52" ht="14.25" customHeight="1">
      <c r="A52" s="67" t="s">
        <v>2039</v>
      </c>
      <c r="B52" s="69" t="str">
        <f>HYPERLINK("https://phet.colorado.edu/sims/html/gas-properties/latest/gas-properties_es.html","https://phet.colorado.edu/sims/html/gas-properties/latest/gas-properties_es.html")</f>
        <v>https://phet.colorado.edu/sims/html/gas-properties/latest/gas-properties_es.html</v>
      </c>
      <c r="C52" s="66"/>
      <c r="D52" s="66"/>
      <c r="E52" s="66"/>
      <c r="F52" s="66"/>
      <c r="G52" s="66"/>
      <c r="H52" s="66"/>
      <c r="I52" s="66"/>
      <c r="J52" s="66"/>
      <c r="K52" s="66"/>
      <c r="L52" s="66"/>
      <c r="M52" s="66"/>
      <c r="N52" s="66"/>
      <c r="O52" s="66"/>
      <c r="P52" s="66"/>
      <c r="Q52" s="66"/>
      <c r="R52" s="66"/>
      <c r="S52" s="66"/>
      <c r="T52" s="66"/>
      <c r="U52" s="66"/>
      <c r="V52" s="66"/>
      <c r="W52" s="66"/>
      <c r="X52" s="66"/>
      <c r="Y52" s="66"/>
      <c r="Z52" s="66"/>
    </row>
    <row r="53" ht="14.25" customHeight="1">
      <c r="A53" s="67" t="s">
        <v>2052</v>
      </c>
      <c r="B53" s="69" t="str">
        <f>HYPERLINK("https://phet.colorado.edu/sims/html/gene-expression-essentials/latest/gene-expression-essentials_es.html","https://phet.colorado.edu/sims/html/gene-expression-essentials/latest/gene-expression-essentials_es.html")</f>
        <v>https://phet.colorado.edu/sims/html/gene-expression-essentials/latest/gene-expression-essentials_es.html</v>
      </c>
      <c r="C53" s="66"/>
      <c r="D53" s="66"/>
      <c r="E53" s="66"/>
      <c r="F53" s="66"/>
      <c r="G53" s="66"/>
      <c r="H53" s="66"/>
      <c r="I53" s="66"/>
      <c r="J53" s="66"/>
      <c r="K53" s="66"/>
      <c r="L53" s="66"/>
      <c r="M53" s="66"/>
      <c r="N53" s="66"/>
      <c r="O53" s="66"/>
      <c r="P53" s="66"/>
      <c r="Q53" s="66"/>
      <c r="R53" s="66"/>
      <c r="S53" s="66"/>
      <c r="T53" s="66"/>
      <c r="U53" s="66"/>
      <c r="V53" s="66"/>
      <c r="W53" s="66"/>
      <c r="X53" s="66"/>
      <c r="Y53" s="66"/>
      <c r="Z53" s="66"/>
    </row>
    <row r="54" ht="14.25" customHeight="1">
      <c r="A54" s="67" t="s">
        <v>2068</v>
      </c>
      <c r="B54" s="69" t="str">
        <f>HYPERLINK("https://phet.colorado.edu/sims/html/isotopes-and-atomic-mass/latest/isotopes-and-atomic-mass_es.html","https://phet.colorado.edu/sims/html/isotopes-and-atomic-mass/latest/isotopes-and-atomic-mass_es.html")</f>
        <v>https://phet.colorado.edu/sims/html/isotopes-and-atomic-mass/latest/isotopes-and-atomic-mass_es.html</v>
      </c>
      <c r="C54" s="66"/>
      <c r="D54" s="66"/>
      <c r="E54" s="66"/>
      <c r="F54" s="66"/>
      <c r="G54" s="66"/>
      <c r="H54" s="66"/>
      <c r="I54" s="66"/>
      <c r="J54" s="66"/>
      <c r="K54" s="66"/>
      <c r="L54" s="66"/>
      <c r="M54" s="66"/>
      <c r="N54" s="66"/>
      <c r="O54" s="66"/>
      <c r="P54" s="66"/>
      <c r="Q54" s="66"/>
      <c r="R54" s="66"/>
      <c r="S54" s="66"/>
      <c r="T54" s="66"/>
      <c r="U54" s="66"/>
      <c r="V54" s="66"/>
      <c r="W54" s="66"/>
      <c r="X54" s="66"/>
      <c r="Y54" s="66"/>
      <c r="Z54" s="66"/>
    </row>
    <row r="55" ht="14.25" customHeight="1">
      <c r="A55" s="67" t="s">
        <v>2080</v>
      </c>
      <c r="B55" s="69" t="str">
        <f>HYPERLINK("https://phet.colorado.edu/sims/html/build-a-molecule/latest/build-a-molecule_es.html","https://phet.colorado.edu/sims/html/build-a-molecule/latest/build-a-molecule_es.html")</f>
        <v>https://phet.colorado.edu/sims/html/build-a-molecule/latest/build-a-molecule_es.html</v>
      </c>
      <c r="C55" s="66"/>
      <c r="D55" s="66"/>
      <c r="E55" s="66"/>
      <c r="F55" s="66"/>
      <c r="G55" s="66"/>
      <c r="H55" s="66"/>
      <c r="I55" s="66"/>
      <c r="J55" s="66"/>
      <c r="K55" s="66"/>
      <c r="L55" s="66"/>
      <c r="M55" s="66"/>
      <c r="N55" s="66"/>
      <c r="O55" s="66"/>
      <c r="P55" s="66"/>
      <c r="Q55" s="66"/>
      <c r="R55" s="66"/>
      <c r="S55" s="66"/>
      <c r="T55" s="66"/>
      <c r="U55" s="66"/>
      <c r="V55" s="66"/>
      <c r="W55" s="66"/>
      <c r="X55" s="66"/>
      <c r="Y55" s="66"/>
      <c r="Z55" s="66"/>
    </row>
    <row r="56" ht="14.25" customHeight="1">
      <c r="A56" s="67" t="s">
        <v>2096</v>
      </c>
      <c r="B56" s="69" t="str">
        <f>HYPERLINK("https://phet.colorado.edu/sims/html/molarity/latest/molarity_es.html","https://phet.colorado.edu/sims/html/molarity/latest/molarity_es.html")</f>
        <v>https://phet.colorado.edu/sims/html/molarity/latest/molarity_es.html</v>
      </c>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4.25" customHeight="1">
      <c r="A57" s="67" t="s">
        <v>2115</v>
      </c>
      <c r="B57" s="69" t="str">
        <f>HYPERLINK("https://phet.colorado.edu/sims/html/ph-scale/latest/ph-scale_es.html","https://phet.colorado.edu/sims/html/ph-scale/latest/ph-scale_es.html")</f>
        <v>https://phet.colorado.edu/sims/html/ph-scale/latest/ph-scale_es.html</v>
      </c>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4.25" customHeight="1">
      <c r="A58" s="67" t="s">
        <v>2129</v>
      </c>
      <c r="B58" s="69" t="str">
        <f>HYPERLINK("https://phet.colorado.edu/sims/html/reactants-products-and-leftovers/latest/reactants-products-and-leftovers_es.html","https://phet.colorado.edu/sims/html/reactants-products-and-leftovers/latest/reactants-products-and-leftovers_es.html")</f>
        <v>https://phet.colorado.edu/sims/html/reactants-products-and-leftovers/latest/reactants-products-and-leftovers_es.html</v>
      </c>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4.25"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4.25" customHeight="1">
      <c r="A60" s="68" t="s">
        <v>2150</v>
      </c>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4.25" customHeight="1">
      <c r="A61" s="68" t="s">
        <v>2158</v>
      </c>
      <c r="B61" s="68" t="s">
        <v>2160</v>
      </c>
      <c r="C61" s="68" t="s">
        <v>2161</v>
      </c>
      <c r="D61" s="68" t="s">
        <v>2162</v>
      </c>
      <c r="E61" s="66"/>
      <c r="F61" s="66"/>
      <c r="G61" s="66"/>
      <c r="H61" s="66"/>
      <c r="I61" s="66"/>
      <c r="J61" s="66"/>
      <c r="K61" s="66"/>
      <c r="L61" s="66"/>
      <c r="M61" s="66"/>
      <c r="N61" s="66"/>
      <c r="O61" s="66"/>
      <c r="P61" s="66"/>
      <c r="Q61" s="66"/>
      <c r="R61" s="66"/>
      <c r="S61" s="66"/>
      <c r="T61" s="66"/>
      <c r="U61" s="66"/>
      <c r="V61" s="66"/>
      <c r="W61" s="66"/>
      <c r="X61" s="66"/>
      <c r="Y61" s="66"/>
      <c r="Z61" s="66"/>
    </row>
    <row r="62" ht="14.25" customHeight="1">
      <c r="A62" s="67" t="s">
        <v>2169</v>
      </c>
      <c r="B62" s="67" t="s">
        <v>2170</v>
      </c>
      <c r="C62" s="67" t="s">
        <v>2171</v>
      </c>
      <c r="D62" s="67" t="s">
        <v>2174</v>
      </c>
      <c r="E62" s="66"/>
      <c r="F62" s="66"/>
      <c r="G62" s="66"/>
      <c r="H62" s="66"/>
      <c r="I62" s="66"/>
      <c r="J62" s="66"/>
      <c r="K62" s="66"/>
      <c r="L62" s="66"/>
      <c r="M62" s="66"/>
      <c r="N62" s="66"/>
      <c r="O62" s="66"/>
      <c r="P62" s="66"/>
      <c r="Q62" s="66"/>
      <c r="R62" s="66"/>
      <c r="S62" s="66"/>
      <c r="T62" s="66"/>
      <c r="U62" s="66"/>
      <c r="V62" s="66"/>
      <c r="W62" s="66"/>
      <c r="X62" s="66"/>
      <c r="Y62" s="66"/>
      <c r="Z62" s="66"/>
    </row>
    <row r="63" ht="14.25" customHeight="1">
      <c r="A63" s="67" t="s">
        <v>2183</v>
      </c>
      <c r="B63" s="67" t="s">
        <v>2184</v>
      </c>
      <c r="C63" s="67" t="s">
        <v>2186</v>
      </c>
      <c r="D63" s="67" t="s">
        <v>2188</v>
      </c>
      <c r="E63" s="66"/>
      <c r="F63" s="66"/>
      <c r="G63" s="66"/>
      <c r="H63" s="66"/>
      <c r="I63" s="66"/>
      <c r="J63" s="66"/>
      <c r="K63" s="66"/>
      <c r="L63" s="66"/>
      <c r="M63" s="66"/>
      <c r="N63" s="66"/>
      <c r="O63" s="66"/>
      <c r="P63" s="66"/>
      <c r="Q63" s="66"/>
      <c r="R63" s="66"/>
      <c r="S63" s="66"/>
      <c r="T63" s="66"/>
      <c r="U63" s="66"/>
      <c r="V63" s="66"/>
      <c r="W63" s="66"/>
      <c r="X63" s="66"/>
      <c r="Y63" s="66"/>
      <c r="Z63" s="66"/>
    </row>
    <row r="64" ht="14.25" customHeight="1">
      <c r="A64" s="67" t="s">
        <v>2192</v>
      </c>
      <c r="B64" s="67" t="s">
        <v>2194</v>
      </c>
      <c r="C64" s="67" t="s">
        <v>2171</v>
      </c>
      <c r="D64" s="67" t="s">
        <v>2198</v>
      </c>
      <c r="E64" s="66"/>
      <c r="F64" s="66"/>
      <c r="G64" s="66"/>
      <c r="H64" s="66"/>
      <c r="I64" s="66"/>
      <c r="J64" s="66"/>
      <c r="K64" s="66"/>
      <c r="L64" s="66"/>
      <c r="M64" s="66"/>
      <c r="N64" s="66"/>
      <c r="O64" s="66"/>
      <c r="P64" s="66"/>
      <c r="Q64" s="66"/>
      <c r="R64" s="66"/>
      <c r="S64" s="66"/>
      <c r="T64" s="66"/>
      <c r="U64" s="66"/>
      <c r="V64" s="66"/>
      <c r="W64" s="66"/>
      <c r="X64" s="66"/>
      <c r="Y64" s="66"/>
      <c r="Z64" s="66"/>
    </row>
    <row r="65" ht="14.2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4.25" customHeight="1">
      <c r="A66" s="68" t="s">
        <v>2213</v>
      </c>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4.25" customHeight="1">
      <c r="A67" s="67" t="s">
        <v>2222</v>
      </c>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4.25" customHeight="1">
      <c r="A68" s="67" t="s">
        <v>2229</v>
      </c>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4.25" customHeight="1">
      <c r="A69" s="67" t="s">
        <v>2235</v>
      </c>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4.25" customHeight="1">
      <c r="A70" s="67" t="s">
        <v>2243</v>
      </c>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4.2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4.2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4.2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4.2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4.2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4.2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4.2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4.2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4.2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4.2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4.2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4.2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4.2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4.2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4.2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4.2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4.2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4.2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4.2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4.2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4.2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4.2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4.2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4.2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4.2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4.2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4.2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4.2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4.2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4.2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4.2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4.2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4.2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4.2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4.2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4.2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4.2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4.2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4.2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4.2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4.2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4.2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4.2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4.2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4.2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4.2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4.2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4.2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4.2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4.2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4.2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4.2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4.2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4.2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4.2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4.2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4.2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4.2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4.2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4.2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4.2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4.2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4.2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4.2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4.2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4.2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4.2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4.2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4.2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4.2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4.2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4.2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4.2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4.2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4.2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4.2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4.2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4.2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4.2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4.2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4.2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4.2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4.2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4.2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4.2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4.2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4.2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4.2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4.2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4.2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4.2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4.2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4.2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4.2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4.2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4.2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4.2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4.2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4.2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4.2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4.2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4.2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4.2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4.2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4.2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4.2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4.2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4.2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4.2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4.2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4.2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4.2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4.2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4.2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4.2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4.2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4.2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4.2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4.2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4.2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4.2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4.2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4.2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4.2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4.2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4.2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4.2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4.2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4.2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4.2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4.2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4.2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4.2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4.2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4.2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4.2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4.2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4.2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4.2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4.2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4.2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4.2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4.2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4.2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4.2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4.2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4.2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4.2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4.2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4.2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4.2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4.2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4.2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4.2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4.2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4.2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4.2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4.2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4.2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4.2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4.2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4.2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4.2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4.2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4.2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4.2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4.2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4.2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4.2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4.2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4.2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4.2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4.2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4.2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4.2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4.2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4.2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4.2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4.2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4.2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4.2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4.2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4.2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4.2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4.2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4.2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4.2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4.2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4.2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4.2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4.2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4.2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4.2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4.2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4.2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4.2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4.2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4.2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4.2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4.2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4.2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4.2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4.2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4.2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4.2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4.2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4.2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4.2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4.2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4.2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4.2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4.2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4.2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4.2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4.2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4.2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4.2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4.2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4.2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4.2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4.2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4.2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4.2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4.2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4.2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4.2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4.2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4.2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4.2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4.2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4.2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4.2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4.2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4.2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4.2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4.2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4.2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4.2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4.2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4.2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4.2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4.2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4.2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4.2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4.2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4.2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4.2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4.2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4.2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4.2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4.2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4.2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4.2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4.2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4.2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4.2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4.2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4.2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4.2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4.2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4.2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4.2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4.2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4.2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4.2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4.2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4.2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4.2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4.2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4.2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4.2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4.2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4.2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4.2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4.2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4.2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4.2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4.2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4.2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4.2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4.2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4.2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4.2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4.2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4.2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4.2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4.2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4.2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4.2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4.2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4.2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4.2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4.2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4.2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4.2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4.2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4.2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4.2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4.2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4.2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4.2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4.2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4.2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4.2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4.2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4.2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4.2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4.2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4.2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4.2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4.2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4.2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4.2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4.2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4.2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4.2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4.2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4.2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4.2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4.2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4.2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4.2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4.2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4.2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4.2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4.2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4.2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4.2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4.2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4.2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4.2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4.2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4.2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4.2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4.2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4.2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4.2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4.2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4.2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4.2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4.2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4.2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4.2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4.2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4.2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4.2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4.2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4.2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4.2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4.2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4.2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4.2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4.2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4.2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4.2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4.2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4.2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4.2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4.2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4.2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4.2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4.2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4.2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4.2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4.2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4.2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4.2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4.2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4.2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4.2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4.2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4.2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4.2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4.2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4.2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4.2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4.2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4.2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4.2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4.2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4.2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4.2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4.2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4.2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4.2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4.2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4.2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4.2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4.2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4.2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4.2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4.2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4.2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4.2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4.2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4.2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4.2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4.2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4.2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4.2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4.2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4.2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4.2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4.2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4.2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4.2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4.2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4.2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4.2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4.2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4.2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4.2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4.2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4.2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4.2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4.2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4.2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4.2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4.2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4.2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4.2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4.2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4.2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4.2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4.2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4.2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4.2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4.2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4.2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4.2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4.2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4.2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4.2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4.2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4.2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4.2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4.2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4.2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4.2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4.2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4.2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4.2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4.2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4.2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4.2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4.2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4.2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4.2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4.2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4.2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4.2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4.2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4.2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4.2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4.2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4.2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4.2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4.2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4.2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4.2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4.2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4.2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4.2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4.2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4.2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4.2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4.2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4.2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4.2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4.2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4.2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4.2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4.2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4.2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4.2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4.2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4.2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4.2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4.2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4.2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4.2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4.2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4.2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4.2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4.2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4.2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4.2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4.2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4.2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4.2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4.2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4.2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4.2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4.2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4.2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4.2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4.2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4.2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4.2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4.2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4.2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4.2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4.2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4.2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4.2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4.2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4.2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4.2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4.2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4.2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4.2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4.2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4.2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4.2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4.2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4.2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4.2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4.2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4.2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4.2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4.2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4.2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4.2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4.2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4.2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4.2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4.2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4.2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4.2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4.2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4.2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4.2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4.2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4.2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4.2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4.2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4.2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4.2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4.2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4.2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4.2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4.2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4.2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4.2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4.2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4.2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4.2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4.2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4.2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4.2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4.2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4.2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4.2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4.2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4.2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4.2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4.2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4.2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4.2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4.2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4.2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4.2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4.2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4.2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4.2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4.2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4.2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4.2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4.2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4.2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4.2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4.2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4.2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4.2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4.2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4.2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4.2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4.2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4.2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4.2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4.2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4.2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4.2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4.2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4.2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4.2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4.2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4.2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4.2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4.2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4.2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4.2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4.2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4.2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4.2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4.2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4.2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4.2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4.2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4.2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4.2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4.2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4.2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4.2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4.2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4.2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4.2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4.2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4.2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4.2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4.2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4.2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4.2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4.2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4.2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4.2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4.2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4.2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4.2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4.2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4.2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4.2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4.2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4.2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4.2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4.2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4.2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4.2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4.2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4.2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4.2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4.2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4.2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4.2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4.2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4.2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4.2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4.2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4.2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4.2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4.2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4.2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4.2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4.2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4.2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4.2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4.2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4.2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4.2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4.2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4.2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4.2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4.2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4.2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4.2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4.2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4.2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4.2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4.2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4.2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4.2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4.2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4.2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4.2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4.2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4.2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4.2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4.2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4.2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4.2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4.2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4.2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4.2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4.2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4.2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4.2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4.2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4.2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4.2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4.2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4.2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4.2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4.2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4.2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4.2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4.2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4.2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4.2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4.2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4.2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4.2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4.2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4.2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4.2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4.2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4.2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4.2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4.2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4.2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4.2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4.2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4.2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4.2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4.2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4.2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4.2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4.2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4.2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4.2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4.2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4.2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4.2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4.2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4.2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4.2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4.2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4.2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4.2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4.2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4.2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4.2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4.2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4.2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4.2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4.2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4.2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4.2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4.2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4.2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4.2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4.2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4.2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4.2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4.2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4.2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4.2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4.2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4.2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4.2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4.2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4.2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4.2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4.2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4.2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4.2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4.2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4.2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4.2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4.2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4.2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4.2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4.2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4.2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4.2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4.2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4.2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4.2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4.2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4.2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4.2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4.2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4.2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4.2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4.2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4.2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4.2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4.2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4.2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4.2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4.2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4.2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4.2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4.2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4.2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4.2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4.2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4.2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4.2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4.2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4.2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4.2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4.2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4.2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4.2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4.2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4.2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4.2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4.2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4.2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4.2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4.2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4.2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4.2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4.2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4.2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4.2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4.2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4.2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4.2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4.2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4.2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4.2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4.2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4.2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4.2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4.2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4.2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4.2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4.2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4.2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4.2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4.2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4.2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4.2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4.2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4.2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4.2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4.2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4.2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4.2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4.2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4.2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4.2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4.2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4.2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4.2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4.2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4.2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4.2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4.2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4.2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4.2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4.2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4.2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4.2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4.2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4.2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4.2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4.2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4.2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4.2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4.2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4.2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4.2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4.2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4.2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4.2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4.2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4.2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4.2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4.2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4.2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4.2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4.2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4.2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4.2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4.2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4.2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4.2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4.2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4.2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4.2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4.2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4.2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4.2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4.2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4.2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4.2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4.2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4.2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4.2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4.2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4.2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4.2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4.2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4.2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4.2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4.2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4.2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4.2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4.2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4.2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4.2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4.2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4.2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4.2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4.2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4.2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4.2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4.2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4.2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4.2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4.2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4.2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4.2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4.2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4.2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4.2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4.2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4.2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4.2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4.2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4.2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4.2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4.2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4.2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4.2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4.2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4.2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4.2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4.2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4.2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4.2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4.2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4.2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4.2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4.2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4.2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4.2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4.2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4.2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4.2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4.2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4.2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4.2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4.2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4.2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4.2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4.2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4.2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printOptions/>
  <pageMargins bottom="0.75" footer="0.0" header="0.0" left="0.5" right="0.5"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2026-10-05T04:26:28Z</dcterms:created>
  <dc:creator>openpyxl</dc:creator>
</cp:coreProperties>
</file>